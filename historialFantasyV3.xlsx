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latuf\OneDrive\Desktop\FantasyLFA\"/>
    </mc:Choice>
  </mc:AlternateContent>
  <xr:revisionPtr revIDLastSave="0" documentId="13_ncr:1_{7C07F0D5-DAEA-4F09-AE96-41ADBF64FD00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partidos regular" sheetId="1" r:id="rId1"/>
    <sheet name="playoffs" sheetId="2" r:id="rId2"/>
    <sheet name="stats" sheetId="3" r:id="rId3"/>
    <sheet name="paternidades" sheetId="4" r:id="rId4"/>
    <sheet name="Rank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0" i="3" l="1"/>
  <c r="B55" i="3"/>
  <c r="B44" i="3"/>
  <c r="B42" i="3"/>
  <c r="B29" i="3"/>
  <c r="B31" i="3"/>
  <c r="B18" i="3"/>
  <c r="B5" i="3"/>
  <c r="B95" i="3"/>
  <c r="B82" i="3"/>
  <c r="B69" i="3"/>
  <c r="B56" i="3"/>
  <c r="B57" i="3" s="1"/>
  <c r="B43" i="3"/>
  <c r="B30" i="3"/>
  <c r="B17" i="3"/>
  <c r="B4" i="3"/>
  <c r="B78" i="4"/>
  <c r="B2" i="3"/>
  <c r="B3" i="3" s="1"/>
  <c r="B13" i="4"/>
  <c r="B12" i="4" l="1"/>
  <c r="B4" i="4"/>
  <c r="B38" i="4" l="1"/>
  <c r="B93" i="3" l="1"/>
  <c r="B2" i="5" s="1"/>
  <c r="B80" i="3"/>
  <c r="B67" i="3"/>
  <c r="B54" i="3"/>
  <c r="B41" i="3"/>
  <c r="B28" i="3"/>
  <c r="B15" i="3"/>
  <c r="B16" i="3" s="1"/>
  <c r="B96" i="3"/>
  <c r="B83" i="3"/>
  <c r="B54" i="4"/>
  <c r="B58" i="4"/>
  <c r="B35" i="4"/>
  <c r="B28" i="4"/>
  <c r="B25" i="4"/>
  <c r="B42" i="4"/>
  <c r="B53" i="4"/>
  <c r="B48" i="4"/>
  <c r="B47" i="4"/>
  <c r="B33" i="4"/>
  <c r="B26" i="4"/>
  <c r="B18" i="4"/>
  <c r="B57" i="4"/>
  <c r="B44" i="4"/>
  <c r="B3" i="4"/>
  <c r="B16" i="4"/>
  <c r="B7" i="4"/>
  <c r="B56" i="4"/>
  <c r="B55" i="4"/>
  <c r="B14" i="4"/>
  <c r="B8" i="4"/>
  <c r="B2" i="4"/>
  <c r="B77" i="4"/>
  <c r="B5" i="4"/>
  <c r="B24" i="4"/>
  <c r="B6" i="4"/>
  <c r="B46" i="4"/>
  <c r="B36" i="4"/>
  <c r="B62" i="4"/>
  <c r="B15" i="4"/>
  <c r="B63" i="4"/>
  <c r="B74" i="4"/>
  <c r="B66" i="4"/>
  <c r="B37" i="4"/>
  <c r="B34" i="4"/>
  <c r="B76" i="4"/>
  <c r="B64" i="4"/>
  <c r="B75" i="4"/>
  <c r="B32" i="4"/>
  <c r="B68" i="4"/>
  <c r="B45" i="4"/>
  <c r="B65" i="4"/>
  <c r="B67" i="4"/>
  <c r="B23" i="4"/>
  <c r="B43" i="4"/>
  <c r="B22" i="4"/>
  <c r="B17" i="4"/>
  <c r="B52" i="4"/>
  <c r="B73" i="4"/>
  <c r="B27" i="4"/>
  <c r="B72" i="4"/>
  <c r="B9" i="5" l="1"/>
  <c r="B4" i="5"/>
  <c r="B5" i="5"/>
  <c r="B8" i="5"/>
  <c r="B68" i="3"/>
  <c r="B6" i="5"/>
  <c r="B81" i="3"/>
  <c r="B7" i="5"/>
  <c r="B94" i="3"/>
  <c r="B3" i="5"/>
</calcChain>
</file>

<file path=xl/sharedStrings.xml><?xml version="1.0" encoding="utf-8"?>
<sst xmlns="http://schemas.openxmlformats.org/spreadsheetml/2006/main" count="684" uniqueCount="182">
  <si>
    <t>Temporada</t>
  </si>
  <si>
    <t>Regular</t>
  </si>
  <si>
    <t>AE</t>
  </si>
  <si>
    <t>SJ</t>
  </si>
  <si>
    <t>LP</t>
  </si>
  <si>
    <t>NG</t>
  </si>
  <si>
    <t>ES</t>
  </si>
  <si>
    <t>JL</t>
  </si>
  <si>
    <t>NP</t>
  </si>
  <si>
    <t>GA</t>
  </si>
  <si>
    <t>EJ</t>
  </si>
  <si>
    <t>LN</t>
  </si>
  <si>
    <t>GS</t>
  </si>
  <si>
    <t>GE</t>
  </si>
  <si>
    <t>JN</t>
  </si>
  <si>
    <t>LA</t>
  </si>
  <si>
    <t>JG</t>
  </si>
  <si>
    <t>NA</t>
  </si>
  <si>
    <t>LS</t>
  </si>
  <si>
    <t>EL</t>
  </si>
  <si>
    <t>GP</t>
  </si>
  <si>
    <t>AJ</t>
  </si>
  <si>
    <t>SN</t>
  </si>
  <si>
    <t>NE</t>
  </si>
  <si>
    <t>AS</t>
  </si>
  <si>
    <t>GL</t>
  </si>
  <si>
    <t>EA</t>
  </si>
  <si>
    <t>GN</t>
  </si>
  <si>
    <t>LJ</t>
  </si>
  <si>
    <t>AP</t>
  </si>
  <si>
    <t>EG</t>
  </si>
  <si>
    <t>NJ</t>
  </si>
  <si>
    <t>EP</t>
  </si>
  <si>
    <t>AN</t>
  </si>
  <si>
    <t>SL</t>
  </si>
  <si>
    <t>NS</t>
  </si>
  <si>
    <t>EN</t>
  </si>
  <si>
    <t>JP</t>
  </si>
  <si>
    <t>SA</t>
  </si>
  <si>
    <t>LG</t>
  </si>
  <si>
    <t>JS</t>
  </si>
  <si>
    <t>LC</t>
  </si>
  <si>
    <t>NC</t>
  </si>
  <si>
    <t>NL</t>
  </si>
  <si>
    <t>AC</t>
  </si>
  <si>
    <t>AL</t>
  </si>
  <si>
    <t>SC</t>
  </si>
  <si>
    <t>EC</t>
  </si>
  <si>
    <t>GJ</t>
  </si>
  <si>
    <t>LE</t>
  </si>
  <si>
    <t>CG</t>
  </si>
  <si>
    <t>CJ</t>
  </si>
  <si>
    <t>CL</t>
  </si>
  <si>
    <t>SE</t>
  </si>
  <si>
    <t>JE</t>
  </si>
  <si>
    <t>CE</t>
  </si>
  <si>
    <t>JA</t>
  </si>
  <si>
    <t>JC</t>
  </si>
  <si>
    <t>CN</t>
  </si>
  <si>
    <t>AG</t>
  </si>
  <si>
    <t>SG</t>
  </si>
  <si>
    <t>CS</t>
  </si>
  <si>
    <t>GC</t>
  </si>
  <si>
    <t>CA</t>
  </si>
  <si>
    <t>KE</t>
  </si>
  <si>
    <t>KG</t>
  </si>
  <si>
    <t>KC</t>
  </si>
  <si>
    <t>KL</t>
  </si>
  <si>
    <t>KN</t>
  </si>
  <si>
    <t>JK</t>
  </si>
  <si>
    <t>KS</t>
  </si>
  <si>
    <t>EK</t>
  </si>
  <si>
    <t>GK</t>
  </si>
  <si>
    <t>CK</t>
  </si>
  <si>
    <t>2019-1</t>
  </si>
  <si>
    <t>2020-1</t>
  </si>
  <si>
    <t>2021-1</t>
  </si>
  <si>
    <t>2022-1</t>
  </si>
  <si>
    <t>P</t>
  </si>
  <si>
    <t>1-2</t>
  </si>
  <si>
    <t>3-4</t>
  </si>
  <si>
    <t>7-8</t>
  </si>
  <si>
    <t>F</t>
  </si>
  <si>
    <t>E</t>
  </si>
  <si>
    <t>G</t>
  </si>
  <si>
    <t>S</t>
  </si>
  <si>
    <t>L</t>
  </si>
  <si>
    <t>J</t>
  </si>
  <si>
    <t>N</t>
  </si>
  <si>
    <t>C</t>
  </si>
  <si>
    <t>K</t>
  </si>
  <si>
    <t>Emily</t>
  </si>
  <si>
    <t>Victorias</t>
  </si>
  <si>
    <t>Win Rate</t>
  </si>
  <si>
    <t>Puntos totales</t>
  </si>
  <si>
    <t>Point rate</t>
  </si>
  <si>
    <t>partidos jugados</t>
  </si>
  <si>
    <t>Puntos 2019</t>
  </si>
  <si>
    <t>Puntos 2020</t>
  </si>
  <si>
    <t>Puntos 2021</t>
  </si>
  <si>
    <t>Puntos 2022</t>
  </si>
  <si>
    <t>Juany</t>
  </si>
  <si>
    <t>Latuf</t>
  </si>
  <si>
    <t>Chevito</t>
  </si>
  <si>
    <t>Gaspe</t>
  </si>
  <si>
    <t>Scrava</t>
  </si>
  <si>
    <t>Landa</t>
  </si>
  <si>
    <t>Naki</t>
  </si>
  <si>
    <t>e-g</t>
  </si>
  <si>
    <t>e-s</t>
  </si>
  <si>
    <t>e-l</t>
  </si>
  <si>
    <t>e-n</t>
  </si>
  <si>
    <t>e-c</t>
  </si>
  <si>
    <t>e-k</t>
  </si>
  <si>
    <t>e-j</t>
  </si>
  <si>
    <t>g-e</t>
  </si>
  <si>
    <t>g-s</t>
  </si>
  <si>
    <t>g-l</t>
  </si>
  <si>
    <t>g-n</t>
  </si>
  <si>
    <t>g-c</t>
  </si>
  <si>
    <t>g-k</t>
  </si>
  <si>
    <t>g-j</t>
  </si>
  <si>
    <t>s-e</t>
  </si>
  <si>
    <t>s-g</t>
  </si>
  <si>
    <t>s-n</t>
  </si>
  <si>
    <t>s-l</t>
  </si>
  <si>
    <t>s-c</t>
  </si>
  <si>
    <t>s-k</t>
  </si>
  <si>
    <t>s-j</t>
  </si>
  <si>
    <t>Relleno</t>
  </si>
  <si>
    <t>n-e</t>
  </si>
  <si>
    <t>n-g</t>
  </si>
  <si>
    <t>n-s</t>
  </si>
  <si>
    <t>n-l</t>
  </si>
  <si>
    <t>n-c</t>
  </si>
  <si>
    <t>n-k</t>
  </si>
  <si>
    <t>n-j</t>
  </si>
  <si>
    <t>l-e</t>
  </si>
  <si>
    <t>l-g</t>
  </si>
  <si>
    <t>l-s</t>
  </si>
  <si>
    <t>l-n</t>
  </si>
  <si>
    <t>l-c</t>
  </si>
  <si>
    <t>l-k</t>
  </si>
  <si>
    <t>l-j</t>
  </si>
  <si>
    <t>c-e</t>
  </si>
  <si>
    <t>c-g</t>
  </si>
  <si>
    <t>c-s</t>
  </si>
  <si>
    <t>c-n</t>
  </si>
  <si>
    <t>c-l</t>
  </si>
  <si>
    <t>c-k</t>
  </si>
  <si>
    <t>c-j</t>
  </si>
  <si>
    <t>k-e</t>
  </si>
  <si>
    <t>k-g</t>
  </si>
  <si>
    <t>k-n</t>
  </si>
  <si>
    <t>k-l</t>
  </si>
  <si>
    <t>k-c</t>
  </si>
  <si>
    <t>k-s</t>
  </si>
  <si>
    <t>k-j</t>
  </si>
  <si>
    <t>j-e</t>
  </si>
  <si>
    <t>j-g</t>
  </si>
  <si>
    <t>j-n</t>
  </si>
  <si>
    <t>j-l</t>
  </si>
  <si>
    <t>j-c</t>
  </si>
  <si>
    <t>j-k</t>
  </si>
  <si>
    <t>j-s</t>
  </si>
  <si>
    <t>2023 -1</t>
  </si>
  <si>
    <t>SK</t>
  </si>
  <si>
    <t>Puntos 2023</t>
  </si>
  <si>
    <t>NK</t>
  </si>
  <si>
    <t>LK</t>
  </si>
  <si>
    <t>Puntos 2024</t>
  </si>
  <si>
    <t>2024 -1</t>
  </si>
  <si>
    <t>KJ</t>
  </si>
  <si>
    <t>P= semis de playoffs</t>
  </si>
  <si>
    <t>despues posiciones temporada regular</t>
  </si>
  <si>
    <t>final en la F</t>
  </si>
  <si>
    <t xml:space="preserve">2025 - 1 </t>
  </si>
  <si>
    <t>Puntos 2025</t>
  </si>
  <si>
    <t>: ultimo bloque</t>
  </si>
  <si>
    <t>2026 -1</t>
  </si>
  <si>
    <t>Puntos 2026</t>
  </si>
  <si>
    <t>Nehue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</si>
</sst>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8"/>
      <name val="Calibri"/>
      <family val="2"/>
      <charset val="1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0" fillId="2" borderId="0" xfId="0" applyFill="1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4" borderId="0" xfId="0" applyNumberFormat="1" applyFill="1" applyAlignment="1">
      <alignment horizontal="center"/>
    </xf>
    <xf numFmtId="49" fontId="0" fillId="5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2" fontId="0" fillId="0" borderId="0" xfId="0" applyNumberFormat="1"/>
    <xf numFmtId="2" fontId="0" fillId="0" borderId="0" xfId="1" applyNumberFormat="1" applyFont="1"/>
    <xf numFmtId="4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10" borderId="0" xfId="0" applyFill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A45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5"/>
  <sheetViews>
    <sheetView workbookViewId="0">
      <selection activeCell="B2" sqref="B2"/>
    </sheetView>
  </sheetViews>
  <sheetFormatPr baseColWidth="10" defaultRowHeight="15" x14ac:dyDescent="0.25"/>
  <cols>
    <col min="1" max="1" width="13.85546875" style="6" bestFit="1" customWidth="1"/>
  </cols>
  <sheetData>
    <row r="1" spans="1:2" x14ac:dyDescent="0.25">
      <c r="A1" s="6" t="s">
        <v>96</v>
      </c>
      <c r="B1">
        <v>105</v>
      </c>
    </row>
    <row r="2" spans="1:2" x14ac:dyDescent="0.25">
      <c r="A2" s="6" t="s">
        <v>0</v>
      </c>
    </row>
    <row r="3" spans="1:2" x14ac:dyDescent="0.25">
      <c r="A3" s="6" t="s">
        <v>1</v>
      </c>
    </row>
    <row r="6" spans="1:2" x14ac:dyDescent="0.25">
      <c r="A6" s="1" t="s">
        <v>2</v>
      </c>
      <c r="B6" s="6" t="s">
        <v>74</v>
      </c>
    </row>
    <row r="7" spans="1:2" x14ac:dyDescent="0.25">
      <c r="A7" s="1" t="s">
        <v>3</v>
      </c>
    </row>
    <row r="8" spans="1:2" x14ac:dyDescent="0.25">
      <c r="A8" s="1" t="s">
        <v>4</v>
      </c>
    </row>
    <row r="9" spans="1:2" x14ac:dyDescent="0.25">
      <c r="A9" s="2" t="s">
        <v>5</v>
      </c>
    </row>
    <row r="10" spans="1:2" x14ac:dyDescent="0.25">
      <c r="A10" s="2" t="s">
        <v>6</v>
      </c>
      <c r="B10">
        <v>2</v>
      </c>
    </row>
    <row r="11" spans="1:2" x14ac:dyDescent="0.25">
      <c r="A11" s="2" t="s">
        <v>7</v>
      </c>
    </row>
    <row r="12" spans="1:2" x14ac:dyDescent="0.25">
      <c r="A12" s="2" t="s">
        <v>8</v>
      </c>
    </row>
    <row r="13" spans="1:2" x14ac:dyDescent="0.25">
      <c r="A13" s="2" t="s">
        <v>9</v>
      </c>
    </row>
    <row r="14" spans="1:2" x14ac:dyDescent="0.25">
      <c r="A14" s="2" t="s">
        <v>10</v>
      </c>
      <c r="B14">
        <v>3</v>
      </c>
    </row>
    <row r="15" spans="1:2" x14ac:dyDescent="0.25">
      <c r="A15" s="2" t="s">
        <v>11</v>
      </c>
    </row>
    <row r="16" spans="1:2" x14ac:dyDescent="0.25">
      <c r="A16" s="2" t="s">
        <v>12</v>
      </c>
    </row>
    <row r="17" spans="1:2" x14ac:dyDescent="0.25">
      <c r="A17" s="2" t="s">
        <v>13</v>
      </c>
      <c r="B17">
        <v>4</v>
      </c>
    </row>
    <row r="18" spans="1:2" x14ac:dyDescent="0.25">
      <c r="A18" s="2" t="s">
        <v>14</v>
      </c>
    </row>
    <row r="19" spans="1:2" x14ac:dyDescent="0.25">
      <c r="A19" s="2" t="s">
        <v>15</v>
      </c>
    </row>
    <row r="20" spans="1:2" x14ac:dyDescent="0.25">
      <c r="A20" s="2" t="s">
        <v>16</v>
      </c>
      <c r="B20">
        <v>5</v>
      </c>
    </row>
    <row r="21" spans="1:2" x14ac:dyDescent="0.25">
      <c r="A21" s="2" t="s">
        <v>17</v>
      </c>
    </row>
    <row r="22" spans="1:2" x14ac:dyDescent="0.25">
      <c r="A22" s="2" t="s">
        <v>18</v>
      </c>
    </row>
    <row r="23" spans="1:2" x14ac:dyDescent="0.25">
      <c r="A23" s="2" t="s">
        <v>19</v>
      </c>
      <c r="B23">
        <v>6</v>
      </c>
    </row>
    <row r="24" spans="1:2" x14ac:dyDescent="0.25">
      <c r="A24" s="2" t="s">
        <v>20</v>
      </c>
    </row>
    <row r="25" spans="1:2" x14ac:dyDescent="0.25">
      <c r="A25" s="2" t="s">
        <v>21</v>
      </c>
    </row>
    <row r="26" spans="1:2" x14ac:dyDescent="0.25">
      <c r="A26" s="2" t="s">
        <v>22</v>
      </c>
    </row>
    <row r="27" spans="1:2" x14ac:dyDescent="0.25">
      <c r="A27" s="2" t="s">
        <v>23</v>
      </c>
      <c r="B27">
        <v>7</v>
      </c>
    </row>
    <row r="28" spans="1:2" x14ac:dyDescent="0.25">
      <c r="A28" s="2" t="s">
        <v>24</v>
      </c>
    </row>
    <row r="29" spans="1:2" x14ac:dyDescent="0.25">
      <c r="A29" s="2" t="s">
        <v>25</v>
      </c>
    </row>
    <row r="30" spans="1:2" x14ac:dyDescent="0.25">
      <c r="A30" s="2" t="s">
        <v>26</v>
      </c>
      <c r="B30">
        <v>8</v>
      </c>
    </row>
    <row r="31" spans="1:2" x14ac:dyDescent="0.25">
      <c r="A31" s="2" t="s">
        <v>4</v>
      </c>
    </row>
    <row r="32" spans="1:2" x14ac:dyDescent="0.25">
      <c r="A32" s="2" t="s">
        <v>3</v>
      </c>
    </row>
    <row r="33" spans="1:2" x14ac:dyDescent="0.25">
      <c r="A33" s="2" t="s">
        <v>27</v>
      </c>
    </row>
    <row r="34" spans="1:2" x14ac:dyDescent="0.25">
      <c r="A34" s="2" t="s">
        <v>6</v>
      </c>
      <c r="B34">
        <v>9</v>
      </c>
    </row>
    <row r="35" spans="1:2" x14ac:dyDescent="0.25">
      <c r="A35" s="2" t="s">
        <v>28</v>
      </c>
    </row>
    <row r="36" spans="1:2" x14ac:dyDescent="0.25">
      <c r="A36" s="2" t="s">
        <v>9</v>
      </c>
    </row>
    <row r="37" spans="1:2" x14ac:dyDescent="0.25">
      <c r="A37" s="2" t="s">
        <v>10</v>
      </c>
      <c r="B37">
        <v>10</v>
      </c>
    </row>
    <row r="38" spans="1:2" x14ac:dyDescent="0.25">
      <c r="A38" s="2" t="s">
        <v>11</v>
      </c>
    </row>
    <row r="39" spans="1:2" x14ac:dyDescent="0.25">
      <c r="A39" s="2" t="s">
        <v>29</v>
      </c>
    </row>
    <row r="40" spans="1:2" x14ac:dyDescent="0.25">
      <c r="A40" s="2" t="s">
        <v>12</v>
      </c>
    </row>
    <row r="41" spans="1:2" x14ac:dyDescent="0.25">
      <c r="A41" s="2" t="s">
        <v>30</v>
      </c>
      <c r="B41">
        <v>11</v>
      </c>
    </row>
    <row r="42" spans="1:2" x14ac:dyDescent="0.25">
      <c r="A42" s="2" t="s">
        <v>31</v>
      </c>
    </row>
    <row r="43" spans="1:2" x14ac:dyDescent="0.25">
      <c r="A43" s="2" t="s">
        <v>15</v>
      </c>
    </row>
    <row r="44" spans="1:2" x14ac:dyDescent="0.25">
      <c r="A44" s="2" t="s">
        <v>32</v>
      </c>
      <c r="B44">
        <v>12</v>
      </c>
    </row>
    <row r="45" spans="1:2" x14ac:dyDescent="0.25">
      <c r="A45" s="2" t="s">
        <v>16</v>
      </c>
    </row>
    <row r="46" spans="1:2" x14ac:dyDescent="0.25">
      <c r="A46" s="2" t="s">
        <v>33</v>
      </c>
    </row>
    <row r="47" spans="1:2" x14ac:dyDescent="0.25">
      <c r="A47" s="2" t="s">
        <v>34</v>
      </c>
    </row>
    <row r="48" spans="1:2" x14ac:dyDescent="0.25">
      <c r="A48" s="2" t="s">
        <v>19</v>
      </c>
      <c r="B48">
        <v>13</v>
      </c>
    </row>
    <row r="49" spans="1:2" x14ac:dyDescent="0.25">
      <c r="A49" s="2" t="s">
        <v>21</v>
      </c>
    </row>
    <row r="50" spans="1:2" x14ac:dyDescent="0.25">
      <c r="A50" s="2" t="s">
        <v>35</v>
      </c>
    </row>
    <row r="51" spans="1:2" x14ac:dyDescent="0.25">
      <c r="A51" s="2" t="s">
        <v>36</v>
      </c>
      <c r="B51">
        <v>14</v>
      </c>
    </row>
    <row r="52" spans="1:2" x14ac:dyDescent="0.25">
      <c r="A52" s="2" t="s">
        <v>37</v>
      </c>
    </row>
    <row r="53" spans="1:2" x14ac:dyDescent="0.25">
      <c r="A53" s="2" t="s">
        <v>38</v>
      </c>
    </row>
    <row r="54" spans="1:2" x14ac:dyDescent="0.25">
      <c r="A54" s="2" t="s">
        <v>39</v>
      </c>
    </row>
    <row r="55" spans="1:2" x14ac:dyDescent="0.25">
      <c r="A55" s="3" t="s">
        <v>26</v>
      </c>
      <c r="B55" t="s">
        <v>75</v>
      </c>
    </row>
    <row r="56" spans="1:2" x14ac:dyDescent="0.25">
      <c r="A56" s="3" t="s">
        <v>40</v>
      </c>
    </row>
    <row r="57" spans="1:2" x14ac:dyDescent="0.25">
      <c r="A57" s="3" t="s">
        <v>41</v>
      </c>
    </row>
    <row r="58" spans="1:2" x14ac:dyDescent="0.25">
      <c r="A58" s="3" t="s">
        <v>27</v>
      </c>
    </row>
    <row r="59" spans="1:2" x14ac:dyDescent="0.25">
      <c r="A59" s="3" t="s">
        <v>6</v>
      </c>
      <c r="B59">
        <v>2</v>
      </c>
    </row>
    <row r="60" spans="1:2" x14ac:dyDescent="0.25">
      <c r="A60" s="3" t="s">
        <v>28</v>
      </c>
    </row>
    <row r="61" spans="1:2" x14ac:dyDescent="0.25">
      <c r="A61" s="3" t="s">
        <v>42</v>
      </c>
    </row>
    <row r="62" spans="1:2" x14ac:dyDescent="0.25">
      <c r="A62" s="3" t="s">
        <v>9</v>
      </c>
    </row>
    <row r="63" spans="1:2" x14ac:dyDescent="0.25">
      <c r="A63" s="3" t="s">
        <v>10</v>
      </c>
      <c r="B63">
        <v>3</v>
      </c>
    </row>
    <row r="64" spans="1:2" x14ac:dyDescent="0.25">
      <c r="A64" s="3" t="s">
        <v>43</v>
      </c>
    </row>
    <row r="65" spans="1:2" x14ac:dyDescent="0.25">
      <c r="A65" s="3" t="s">
        <v>12</v>
      </c>
    </row>
    <row r="66" spans="1:2" x14ac:dyDescent="0.25">
      <c r="A66" s="3" t="s">
        <v>44</v>
      </c>
    </row>
    <row r="67" spans="1:2" x14ac:dyDescent="0.25">
      <c r="A67" s="3" t="s">
        <v>30</v>
      </c>
      <c r="B67">
        <v>4</v>
      </c>
    </row>
    <row r="68" spans="1:2" x14ac:dyDescent="0.25">
      <c r="A68" s="3" t="s">
        <v>14</v>
      </c>
    </row>
    <row r="69" spans="1:2" x14ac:dyDescent="0.25">
      <c r="A69" s="3" t="s">
        <v>45</v>
      </c>
    </row>
    <row r="70" spans="1:2" x14ac:dyDescent="0.25">
      <c r="A70" s="3" t="s">
        <v>46</v>
      </c>
    </row>
    <row r="71" spans="1:2" x14ac:dyDescent="0.25">
      <c r="A71" s="3" t="s">
        <v>47</v>
      </c>
      <c r="B71">
        <v>5</v>
      </c>
    </row>
    <row r="72" spans="1:2" x14ac:dyDescent="0.25">
      <c r="A72" s="3" t="s">
        <v>48</v>
      </c>
    </row>
    <row r="73" spans="1:2" x14ac:dyDescent="0.25">
      <c r="A73" s="3" t="s">
        <v>17</v>
      </c>
    </row>
    <row r="74" spans="1:2" x14ac:dyDescent="0.25">
      <c r="A74" s="3" t="s">
        <v>18</v>
      </c>
    </row>
    <row r="75" spans="1:2" x14ac:dyDescent="0.25">
      <c r="A75" s="3" t="s">
        <v>49</v>
      </c>
      <c r="B75">
        <v>6</v>
      </c>
    </row>
    <row r="76" spans="1:2" x14ac:dyDescent="0.25">
      <c r="A76" s="3" t="s">
        <v>21</v>
      </c>
    </row>
    <row r="77" spans="1:2" x14ac:dyDescent="0.25">
      <c r="A77" s="3" t="s">
        <v>50</v>
      </c>
    </row>
    <row r="78" spans="1:2" x14ac:dyDescent="0.25">
      <c r="A78" s="3" t="s">
        <v>35</v>
      </c>
    </row>
    <row r="79" spans="1:2" x14ac:dyDescent="0.25">
      <c r="A79" s="3" t="s">
        <v>36</v>
      </c>
      <c r="B79">
        <v>7</v>
      </c>
    </row>
    <row r="80" spans="1:2" x14ac:dyDescent="0.25">
      <c r="A80" s="3" t="s">
        <v>51</v>
      </c>
    </row>
    <row r="81" spans="1:2" x14ac:dyDescent="0.25">
      <c r="A81" s="3" t="s">
        <v>38</v>
      </c>
    </row>
    <row r="82" spans="1:2" x14ac:dyDescent="0.25">
      <c r="A82" s="3" t="s">
        <v>25</v>
      </c>
    </row>
    <row r="83" spans="1:2" x14ac:dyDescent="0.25">
      <c r="A83" s="3" t="s">
        <v>2</v>
      </c>
      <c r="B83">
        <v>8</v>
      </c>
    </row>
    <row r="84" spans="1:2" x14ac:dyDescent="0.25">
      <c r="A84" s="3" t="s">
        <v>40</v>
      </c>
    </row>
    <row r="85" spans="1:2" x14ac:dyDescent="0.25">
      <c r="A85" s="3" t="s">
        <v>52</v>
      </c>
    </row>
    <row r="86" spans="1:2" x14ac:dyDescent="0.25">
      <c r="A86" s="3" t="s">
        <v>27</v>
      </c>
    </row>
    <row r="87" spans="1:2" x14ac:dyDescent="0.25">
      <c r="A87" s="3" t="s">
        <v>53</v>
      </c>
      <c r="B87">
        <v>9</v>
      </c>
    </row>
    <row r="88" spans="1:2" x14ac:dyDescent="0.25">
      <c r="A88" s="3" t="s">
        <v>7</v>
      </c>
    </row>
    <row r="89" spans="1:2" x14ac:dyDescent="0.25">
      <c r="A89" s="3" t="s">
        <v>42</v>
      </c>
    </row>
    <row r="90" spans="1:2" x14ac:dyDescent="0.25">
      <c r="A90" s="3" t="s">
        <v>9</v>
      </c>
    </row>
    <row r="91" spans="1:2" x14ac:dyDescent="0.25">
      <c r="A91" s="3" t="s">
        <v>54</v>
      </c>
      <c r="B91">
        <v>10</v>
      </c>
    </row>
    <row r="92" spans="1:2" x14ac:dyDescent="0.25">
      <c r="A92" s="3" t="s">
        <v>11</v>
      </c>
    </row>
    <row r="93" spans="1:2" x14ac:dyDescent="0.25">
      <c r="A93" s="3" t="s">
        <v>12</v>
      </c>
    </row>
    <row r="94" spans="1:2" x14ac:dyDescent="0.25">
      <c r="A94" s="3" t="s">
        <v>44</v>
      </c>
    </row>
    <row r="95" spans="1:2" x14ac:dyDescent="0.25">
      <c r="A95" s="3" t="s">
        <v>30</v>
      </c>
      <c r="B95">
        <v>11</v>
      </c>
    </row>
    <row r="96" spans="1:2" x14ac:dyDescent="0.25">
      <c r="A96" s="3" t="s">
        <v>14</v>
      </c>
    </row>
    <row r="97" spans="1:2" x14ac:dyDescent="0.25">
      <c r="A97" s="3" t="s">
        <v>15</v>
      </c>
    </row>
    <row r="98" spans="1:2" x14ac:dyDescent="0.25">
      <c r="A98" s="3" t="s">
        <v>46</v>
      </c>
    </row>
    <row r="99" spans="1:2" x14ac:dyDescent="0.25">
      <c r="A99" s="3" t="s">
        <v>55</v>
      </c>
      <c r="B99">
        <v>12</v>
      </c>
    </row>
    <row r="100" spans="1:2" x14ac:dyDescent="0.25">
      <c r="A100" s="3" t="s">
        <v>48</v>
      </c>
    </row>
    <row r="101" spans="1:2" x14ac:dyDescent="0.25">
      <c r="A101" s="3" t="s">
        <v>17</v>
      </c>
    </row>
    <row r="102" spans="1:2" x14ac:dyDescent="0.25">
      <c r="A102" s="3" t="s">
        <v>34</v>
      </c>
    </row>
    <row r="103" spans="1:2" x14ac:dyDescent="0.25">
      <c r="A103" s="3" t="s">
        <v>49</v>
      </c>
      <c r="B103">
        <v>13</v>
      </c>
    </row>
    <row r="104" spans="1:2" x14ac:dyDescent="0.25">
      <c r="A104" s="3" t="s">
        <v>56</v>
      </c>
    </row>
    <row r="105" spans="1:2" x14ac:dyDescent="0.25">
      <c r="A105" s="3" t="s">
        <v>50</v>
      </c>
    </row>
    <row r="106" spans="1:2" x14ac:dyDescent="0.25">
      <c r="A106" s="3" t="s">
        <v>35</v>
      </c>
    </row>
    <row r="107" spans="1:2" x14ac:dyDescent="0.25">
      <c r="A107" s="3" t="s">
        <v>36</v>
      </c>
      <c r="B107">
        <v>14</v>
      </c>
    </row>
    <row r="108" spans="1:2" x14ac:dyDescent="0.25">
      <c r="A108" s="3" t="s">
        <v>57</v>
      </c>
    </row>
    <row r="109" spans="1:2" x14ac:dyDescent="0.25">
      <c r="A109" s="3" t="s">
        <v>24</v>
      </c>
    </row>
    <row r="110" spans="1:2" x14ac:dyDescent="0.25">
      <c r="A110" s="3" t="s">
        <v>25</v>
      </c>
    </row>
    <row r="111" spans="1:2" x14ac:dyDescent="0.25">
      <c r="A111" s="4" t="s">
        <v>26</v>
      </c>
      <c r="B111" t="s">
        <v>76</v>
      </c>
    </row>
    <row r="112" spans="1:2" x14ac:dyDescent="0.25">
      <c r="A112" s="4" t="s">
        <v>3</v>
      </c>
    </row>
    <row r="113" spans="1:2" x14ac:dyDescent="0.25">
      <c r="A113" s="4" t="s">
        <v>52</v>
      </c>
    </row>
    <row r="114" spans="1:2" x14ac:dyDescent="0.25">
      <c r="A114" s="4" t="s">
        <v>5</v>
      </c>
    </row>
    <row r="115" spans="1:2" x14ac:dyDescent="0.25">
      <c r="A115" s="4" t="s">
        <v>53</v>
      </c>
      <c r="B115">
        <v>2</v>
      </c>
    </row>
    <row r="116" spans="1:2" x14ac:dyDescent="0.25">
      <c r="A116" s="4" t="s">
        <v>7</v>
      </c>
    </row>
    <row r="117" spans="1:2" x14ac:dyDescent="0.25">
      <c r="A117" s="4" t="s">
        <v>58</v>
      </c>
    </row>
    <row r="118" spans="1:2" x14ac:dyDescent="0.25">
      <c r="A118" s="4" t="s">
        <v>59</v>
      </c>
    </row>
    <row r="119" spans="1:2" x14ac:dyDescent="0.25">
      <c r="A119" s="4" t="s">
        <v>54</v>
      </c>
      <c r="B119">
        <v>3</v>
      </c>
    </row>
    <row r="120" spans="1:2" x14ac:dyDescent="0.25">
      <c r="A120" s="4" t="s">
        <v>11</v>
      </c>
    </row>
    <row r="121" spans="1:2" x14ac:dyDescent="0.25">
      <c r="A121" s="4" t="s">
        <v>60</v>
      </c>
    </row>
    <row r="122" spans="1:2" x14ac:dyDescent="0.25">
      <c r="A122" s="4" t="s">
        <v>44</v>
      </c>
    </row>
    <row r="123" spans="1:2" x14ac:dyDescent="0.25">
      <c r="A123" s="4" t="s">
        <v>13</v>
      </c>
      <c r="B123">
        <v>4</v>
      </c>
    </row>
    <row r="124" spans="1:2" x14ac:dyDescent="0.25">
      <c r="A124" s="4" t="s">
        <v>14</v>
      </c>
    </row>
    <row r="125" spans="1:2" x14ac:dyDescent="0.25">
      <c r="A125" s="4" t="s">
        <v>15</v>
      </c>
    </row>
    <row r="126" spans="1:2" x14ac:dyDescent="0.25">
      <c r="A126" s="4" t="s">
        <v>61</v>
      </c>
    </row>
    <row r="127" spans="1:2" x14ac:dyDescent="0.25">
      <c r="A127" s="4" t="s">
        <v>47</v>
      </c>
      <c r="B127">
        <v>5</v>
      </c>
    </row>
    <row r="128" spans="1:2" x14ac:dyDescent="0.25">
      <c r="A128" s="4" t="s">
        <v>16</v>
      </c>
    </row>
    <row r="129" spans="1:2" x14ac:dyDescent="0.25">
      <c r="A129" s="4" t="s">
        <v>33</v>
      </c>
    </row>
    <row r="130" spans="1:2" x14ac:dyDescent="0.25">
      <c r="A130" s="4" t="s">
        <v>18</v>
      </c>
    </row>
    <row r="131" spans="1:2" x14ac:dyDescent="0.25">
      <c r="A131" s="4" t="s">
        <v>19</v>
      </c>
      <c r="B131">
        <v>6</v>
      </c>
    </row>
    <row r="132" spans="1:2" x14ac:dyDescent="0.25">
      <c r="A132" s="4" t="s">
        <v>56</v>
      </c>
    </row>
    <row r="133" spans="1:2" x14ac:dyDescent="0.25">
      <c r="A133" s="4" t="s">
        <v>62</v>
      </c>
    </row>
    <row r="134" spans="1:2" x14ac:dyDescent="0.25">
      <c r="A134" s="4" t="s">
        <v>22</v>
      </c>
    </row>
    <row r="135" spans="1:2" x14ac:dyDescent="0.25">
      <c r="A135" s="4" t="s">
        <v>23</v>
      </c>
      <c r="B135">
        <v>7</v>
      </c>
    </row>
    <row r="136" spans="1:2" x14ac:dyDescent="0.25">
      <c r="A136" s="4" t="s">
        <v>57</v>
      </c>
    </row>
    <row r="137" spans="1:2" x14ac:dyDescent="0.25">
      <c r="A137" s="4" t="s">
        <v>38</v>
      </c>
    </row>
    <row r="138" spans="1:2" x14ac:dyDescent="0.25">
      <c r="A138" s="4" t="s">
        <v>39</v>
      </c>
    </row>
    <row r="139" spans="1:2" x14ac:dyDescent="0.25">
      <c r="A139" s="4" t="s">
        <v>26</v>
      </c>
      <c r="B139">
        <v>8</v>
      </c>
    </row>
    <row r="140" spans="1:2" x14ac:dyDescent="0.25">
      <c r="A140" s="4" t="s">
        <v>40</v>
      </c>
    </row>
    <row r="141" spans="1:2" x14ac:dyDescent="0.25">
      <c r="A141" s="4" t="s">
        <v>41</v>
      </c>
    </row>
    <row r="142" spans="1:2" x14ac:dyDescent="0.25">
      <c r="A142" s="4" t="s">
        <v>5</v>
      </c>
    </row>
    <row r="143" spans="1:2" x14ac:dyDescent="0.25">
      <c r="A143" s="4" t="s">
        <v>6</v>
      </c>
      <c r="B143">
        <v>9</v>
      </c>
    </row>
    <row r="144" spans="1:2" x14ac:dyDescent="0.25">
      <c r="A144" s="4" t="s">
        <v>7</v>
      </c>
    </row>
    <row r="145" spans="1:2" x14ac:dyDescent="0.25">
      <c r="A145" s="4" t="s">
        <v>58</v>
      </c>
    </row>
    <row r="146" spans="1:2" x14ac:dyDescent="0.25">
      <c r="A146" s="4" t="s">
        <v>59</v>
      </c>
    </row>
    <row r="147" spans="1:2" x14ac:dyDescent="0.25">
      <c r="A147" s="4" t="s">
        <v>54</v>
      </c>
      <c r="B147">
        <v>10</v>
      </c>
    </row>
    <row r="148" spans="1:2" x14ac:dyDescent="0.25">
      <c r="A148" s="4" t="s">
        <v>43</v>
      </c>
    </row>
    <row r="149" spans="1:2" x14ac:dyDescent="0.25">
      <c r="A149" s="4" t="s">
        <v>60</v>
      </c>
    </row>
    <row r="150" spans="1:2" x14ac:dyDescent="0.25">
      <c r="A150" s="4" t="s">
        <v>63</v>
      </c>
    </row>
    <row r="151" spans="1:2" x14ac:dyDescent="0.25">
      <c r="A151" s="4" t="s">
        <v>30</v>
      </c>
      <c r="B151">
        <v>11</v>
      </c>
    </row>
    <row r="152" spans="1:2" x14ac:dyDescent="0.25">
      <c r="A152" s="4" t="s">
        <v>31</v>
      </c>
    </row>
    <row r="153" spans="1:2" x14ac:dyDescent="0.25">
      <c r="A153" s="4" t="s">
        <v>15</v>
      </c>
    </row>
    <row r="154" spans="1:2" x14ac:dyDescent="0.25">
      <c r="A154" s="4" t="s">
        <v>46</v>
      </c>
    </row>
    <row r="155" spans="1:2" x14ac:dyDescent="0.25">
      <c r="A155" s="4" t="s">
        <v>55</v>
      </c>
      <c r="B155">
        <v>12</v>
      </c>
    </row>
    <row r="156" spans="1:2" x14ac:dyDescent="0.25">
      <c r="A156" s="4" t="s">
        <v>16</v>
      </c>
    </row>
    <row r="157" spans="1:2" x14ac:dyDescent="0.25">
      <c r="A157" s="4" t="s">
        <v>33</v>
      </c>
    </row>
    <row r="158" spans="1:2" x14ac:dyDescent="0.25">
      <c r="A158" s="4" t="s">
        <v>18</v>
      </c>
    </row>
    <row r="159" spans="1:2" x14ac:dyDescent="0.25">
      <c r="A159" s="4" t="s">
        <v>19</v>
      </c>
      <c r="B159">
        <v>13</v>
      </c>
    </row>
    <row r="160" spans="1:2" x14ac:dyDescent="0.25">
      <c r="A160" s="4" t="s">
        <v>21</v>
      </c>
    </row>
    <row r="161" spans="1:2" x14ac:dyDescent="0.25">
      <c r="A161" s="4" t="s">
        <v>50</v>
      </c>
    </row>
    <row r="162" spans="1:2" x14ac:dyDescent="0.25">
      <c r="A162" s="4" t="s">
        <v>22</v>
      </c>
    </row>
    <row r="163" spans="1:2" x14ac:dyDescent="0.25">
      <c r="A163" s="4" t="s">
        <v>36</v>
      </c>
      <c r="B163">
        <v>14</v>
      </c>
    </row>
    <row r="164" spans="1:2" x14ac:dyDescent="0.25">
      <c r="A164" s="4" t="s">
        <v>57</v>
      </c>
    </row>
    <row r="165" spans="1:2" x14ac:dyDescent="0.25">
      <c r="A165" s="4" t="s">
        <v>38</v>
      </c>
    </row>
    <row r="166" spans="1:2" x14ac:dyDescent="0.25">
      <c r="A166" s="4" t="s">
        <v>39</v>
      </c>
    </row>
    <row r="167" spans="1:2" x14ac:dyDescent="0.25">
      <c r="A167" s="4" t="s">
        <v>26</v>
      </c>
      <c r="B167">
        <v>15</v>
      </c>
    </row>
    <row r="168" spans="1:2" x14ac:dyDescent="0.25">
      <c r="A168" s="4" t="s">
        <v>40</v>
      </c>
    </row>
    <row r="169" spans="1:2" x14ac:dyDescent="0.25">
      <c r="A169" s="4" t="s">
        <v>52</v>
      </c>
    </row>
    <row r="170" spans="1:2" x14ac:dyDescent="0.25">
      <c r="A170" s="4" t="s">
        <v>5</v>
      </c>
    </row>
    <row r="171" spans="1:2" x14ac:dyDescent="0.25">
      <c r="A171" s="5" t="s">
        <v>64</v>
      </c>
      <c r="B171" t="s">
        <v>77</v>
      </c>
    </row>
    <row r="172" spans="1:2" x14ac:dyDescent="0.25">
      <c r="A172" s="5" t="s">
        <v>40</v>
      </c>
    </row>
    <row r="173" spans="1:2" x14ac:dyDescent="0.25">
      <c r="A173" s="5" t="s">
        <v>41</v>
      </c>
    </row>
    <row r="174" spans="1:2" x14ac:dyDescent="0.25">
      <c r="A174" s="5" t="s">
        <v>5</v>
      </c>
    </row>
    <row r="175" spans="1:2" x14ac:dyDescent="0.25">
      <c r="A175" s="5" t="s">
        <v>6</v>
      </c>
      <c r="B175">
        <v>2</v>
      </c>
    </row>
    <row r="176" spans="1:2" x14ac:dyDescent="0.25">
      <c r="A176" s="5" t="s">
        <v>28</v>
      </c>
    </row>
    <row r="177" spans="1:2" x14ac:dyDescent="0.25">
      <c r="A177" s="5" t="s">
        <v>58</v>
      </c>
    </row>
    <row r="178" spans="1:2" x14ac:dyDescent="0.25">
      <c r="A178" s="5" t="s">
        <v>65</v>
      </c>
    </row>
    <row r="179" spans="1:2" x14ac:dyDescent="0.25">
      <c r="A179" s="5" t="s">
        <v>54</v>
      </c>
      <c r="B179">
        <v>3</v>
      </c>
    </row>
    <row r="180" spans="1:2" x14ac:dyDescent="0.25">
      <c r="A180" s="5" t="s">
        <v>11</v>
      </c>
    </row>
    <row r="181" spans="1:2" x14ac:dyDescent="0.25">
      <c r="A181" s="5" t="s">
        <v>60</v>
      </c>
    </row>
    <row r="182" spans="1:2" x14ac:dyDescent="0.25">
      <c r="A182" s="5" t="s">
        <v>66</v>
      </c>
    </row>
    <row r="183" spans="1:2" x14ac:dyDescent="0.25">
      <c r="A183" s="5" t="s">
        <v>30</v>
      </c>
      <c r="B183">
        <v>4</v>
      </c>
    </row>
    <row r="184" spans="1:2" x14ac:dyDescent="0.25">
      <c r="A184" s="5" t="s">
        <v>31</v>
      </c>
    </row>
    <row r="185" spans="1:2" x14ac:dyDescent="0.25">
      <c r="A185" s="5" t="s">
        <v>67</v>
      </c>
    </row>
    <row r="186" spans="1:2" x14ac:dyDescent="0.25">
      <c r="A186" s="5" t="s">
        <v>46</v>
      </c>
    </row>
    <row r="187" spans="1:2" x14ac:dyDescent="0.25">
      <c r="A187" s="5" t="s">
        <v>55</v>
      </c>
      <c r="B187">
        <v>5</v>
      </c>
    </row>
    <row r="188" spans="1:2" x14ac:dyDescent="0.25">
      <c r="A188" s="5" t="s">
        <v>16</v>
      </c>
    </row>
    <row r="189" spans="1:2" x14ac:dyDescent="0.25">
      <c r="A189" s="5" t="s">
        <v>68</v>
      </c>
    </row>
    <row r="190" spans="1:2" x14ac:dyDescent="0.25">
      <c r="A190" s="5" t="s">
        <v>34</v>
      </c>
    </row>
    <row r="191" spans="1:2" x14ac:dyDescent="0.25">
      <c r="A191" s="5" t="s">
        <v>19</v>
      </c>
      <c r="B191">
        <v>6</v>
      </c>
    </row>
    <row r="192" spans="1:2" x14ac:dyDescent="0.25">
      <c r="A192" s="5" t="s">
        <v>69</v>
      </c>
    </row>
    <row r="193" spans="1:2" x14ac:dyDescent="0.25">
      <c r="A193" s="5" t="s">
        <v>50</v>
      </c>
    </row>
    <row r="194" spans="1:2" x14ac:dyDescent="0.25">
      <c r="A194" s="5" t="s">
        <v>35</v>
      </c>
    </row>
    <row r="195" spans="1:2" x14ac:dyDescent="0.25">
      <c r="A195" s="5" t="s">
        <v>36</v>
      </c>
      <c r="B195">
        <v>7</v>
      </c>
    </row>
    <row r="196" spans="1:2" x14ac:dyDescent="0.25">
      <c r="A196" s="5" t="s">
        <v>57</v>
      </c>
    </row>
    <row r="197" spans="1:2" x14ac:dyDescent="0.25">
      <c r="A197" s="5" t="s">
        <v>70</v>
      </c>
    </row>
    <row r="198" spans="1:2" x14ac:dyDescent="0.25">
      <c r="A198" s="5" t="s">
        <v>25</v>
      </c>
    </row>
    <row r="199" spans="1:2" x14ac:dyDescent="0.25">
      <c r="A199" s="5" t="s">
        <v>71</v>
      </c>
      <c r="B199">
        <v>8</v>
      </c>
    </row>
    <row r="200" spans="1:2" x14ac:dyDescent="0.25">
      <c r="A200" s="5" t="s">
        <v>40</v>
      </c>
    </row>
    <row r="201" spans="1:2" x14ac:dyDescent="0.25">
      <c r="A201" s="5" t="s">
        <v>52</v>
      </c>
    </row>
    <row r="202" spans="1:2" x14ac:dyDescent="0.25">
      <c r="A202" s="5" t="s">
        <v>5</v>
      </c>
    </row>
    <row r="203" spans="1:2" x14ac:dyDescent="0.25">
      <c r="A203" s="5" t="s">
        <v>53</v>
      </c>
      <c r="B203">
        <v>9</v>
      </c>
    </row>
    <row r="204" spans="1:2" x14ac:dyDescent="0.25">
      <c r="A204" s="5" t="s">
        <v>7</v>
      </c>
    </row>
    <row r="205" spans="1:2" x14ac:dyDescent="0.25">
      <c r="A205" s="5" t="s">
        <v>42</v>
      </c>
    </row>
    <row r="206" spans="1:2" x14ac:dyDescent="0.25">
      <c r="A206" s="5" t="s">
        <v>72</v>
      </c>
    </row>
    <row r="207" spans="1:2" x14ac:dyDescent="0.25">
      <c r="A207" s="5" t="s">
        <v>10</v>
      </c>
      <c r="B207">
        <v>10</v>
      </c>
    </row>
    <row r="208" spans="1:2" x14ac:dyDescent="0.25">
      <c r="A208" s="5" t="s">
        <v>41</v>
      </c>
    </row>
    <row r="209" spans="1:2" x14ac:dyDescent="0.25">
      <c r="A209" s="5" t="s">
        <v>60</v>
      </c>
    </row>
    <row r="210" spans="1:2" x14ac:dyDescent="0.25">
      <c r="A210" s="5" t="s">
        <v>73</v>
      </c>
    </row>
    <row r="211" spans="1:2" x14ac:dyDescent="0.25">
      <c r="A211" s="5" t="s">
        <v>30</v>
      </c>
      <c r="B211">
        <v>11</v>
      </c>
    </row>
    <row r="212" spans="1:2" x14ac:dyDescent="0.25">
      <c r="A212" s="5" t="s">
        <v>31</v>
      </c>
    </row>
    <row r="213" spans="1:2" x14ac:dyDescent="0.25">
      <c r="A213" s="5" t="s">
        <v>67</v>
      </c>
    </row>
    <row r="214" spans="1:2" x14ac:dyDescent="0.25">
      <c r="A214" s="5" t="s">
        <v>46</v>
      </c>
    </row>
    <row r="215" spans="1:2" x14ac:dyDescent="0.25">
      <c r="A215" s="5" t="s">
        <v>55</v>
      </c>
      <c r="B215">
        <v>12</v>
      </c>
    </row>
    <row r="216" spans="1:2" x14ac:dyDescent="0.25">
      <c r="A216" s="5" t="s">
        <v>16</v>
      </c>
    </row>
    <row r="217" spans="1:2" x14ac:dyDescent="0.25">
      <c r="A217" s="5" t="s">
        <v>68</v>
      </c>
    </row>
    <row r="218" spans="1:2" x14ac:dyDescent="0.25">
      <c r="A218" s="5" t="s">
        <v>34</v>
      </c>
    </row>
    <row r="219" spans="1:2" x14ac:dyDescent="0.25">
      <c r="A219" s="5" t="s">
        <v>19</v>
      </c>
      <c r="B219">
        <v>13</v>
      </c>
    </row>
    <row r="220" spans="1:2" x14ac:dyDescent="0.25">
      <c r="A220" s="5" t="s">
        <v>69</v>
      </c>
    </row>
    <row r="221" spans="1:2" x14ac:dyDescent="0.25">
      <c r="A221" s="5" t="s">
        <v>50</v>
      </c>
    </row>
    <row r="222" spans="1:2" x14ac:dyDescent="0.25">
      <c r="A222" s="5" t="s">
        <v>35</v>
      </c>
    </row>
    <row r="223" spans="1:2" x14ac:dyDescent="0.25">
      <c r="A223" s="5" t="s">
        <v>36</v>
      </c>
      <c r="B223">
        <v>14</v>
      </c>
    </row>
    <row r="224" spans="1:2" x14ac:dyDescent="0.25">
      <c r="A224" s="5" t="s">
        <v>57</v>
      </c>
    </row>
    <row r="225" spans="1:2" x14ac:dyDescent="0.25">
      <c r="A225" s="5" t="s">
        <v>70</v>
      </c>
    </row>
    <row r="226" spans="1:2" x14ac:dyDescent="0.25">
      <c r="A226" s="5" t="s">
        <v>25</v>
      </c>
    </row>
    <row r="227" spans="1:2" x14ac:dyDescent="0.25">
      <c r="A227" s="5" t="s">
        <v>64</v>
      </c>
      <c r="B227">
        <v>15</v>
      </c>
    </row>
    <row r="228" spans="1:2" x14ac:dyDescent="0.25">
      <c r="A228" s="5" t="s">
        <v>3</v>
      </c>
    </row>
    <row r="229" spans="1:2" x14ac:dyDescent="0.25">
      <c r="A229" s="5" t="s">
        <v>52</v>
      </c>
    </row>
    <row r="230" spans="1:2" x14ac:dyDescent="0.25">
      <c r="A230" s="5" t="s">
        <v>5</v>
      </c>
    </row>
    <row r="231" spans="1:2" x14ac:dyDescent="0.25">
      <c r="A231" s="16" t="s">
        <v>30</v>
      </c>
      <c r="B231" t="s">
        <v>165</v>
      </c>
    </row>
    <row r="232" spans="1:2" x14ac:dyDescent="0.25">
      <c r="A232" s="16" t="s">
        <v>3</v>
      </c>
    </row>
    <row r="233" spans="1:2" x14ac:dyDescent="0.25">
      <c r="A233" s="16" t="s">
        <v>11</v>
      </c>
    </row>
    <row r="234" spans="1:2" x14ac:dyDescent="0.25">
      <c r="A234" s="16" t="s">
        <v>66</v>
      </c>
    </row>
    <row r="235" spans="1:2" x14ac:dyDescent="0.25">
      <c r="A235" s="17" t="s">
        <v>64</v>
      </c>
      <c r="B235">
        <v>2</v>
      </c>
    </row>
    <row r="236" spans="1:2" x14ac:dyDescent="0.25">
      <c r="A236" s="16" t="s">
        <v>31</v>
      </c>
    </row>
    <row r="237" spans="1:2" x14ac:dyDescent="0.25">
      <c r="A237" s="16" t="s">
        <v>52</v>
      </c>
    </row>
    <row r="238" spans="1:2" x14ac:dyDescent="0.25">
      <c r="A238" s="16" t="s">
        <v>12</v>
      </c>
    </row>
    <row r="239" spans="1:2" x14ac:dyDescent="0.25">
      <c r="A239" s="16" t="s">
        <v>23</v>
      </c>
      <c r="B239">
        <v>3</v>
      </c>
    </row>
    <row r="240" spans="1:2" x14ac:dyDescent="0.25">
      <c r="A240" s="16" t="s">
        <v>25</v>
      </c>
    </row>
    <row r="241" spans="1:2" x14ac:dyDescent="0.25">
      <c r="A241" s="16" t="s">
        <v>57</v>
      </c>
    </row>
    <row r="242" spans="1:2" x14ac:dyDescent="0.25">
      <c r="A242" s="16" t="s">
        <v>166</v>
      </c>
    </row>
    <row r="243" spans="1:2" x14ac:dyDescent="0.25">
      <c r="A243" s="16" t="s">
        <v>47</v>
      </c>
      <c r="B243">
        <v>4</v>
      </c>
    </row>
    <row r="244" spans="1:2" x14ac:dyDescent="0.25">
      <c r="A244" s="16" t="s">
        <v>22</v>
      </c>
    </row>
    <row r="245" spans="1:2" x14ac:dyDescent="0.25">
      <c r="A245" s="16" t="s">
        <v>72</v>
      </c>
    </row>
    <row r="246" spans="1:2" x14ac:dyDescent="0.25">
      <c r="A246" s="16" t="s">
        <v>7</v>
      </c>
    </row>
    <row r="247" spans="1:2" x14ac:dyDescent="0.25">
      <c r="A247" s="16" t="s">
        <v>53</v>
      </c>
      <c r="B247">
        <v>5</v>
      </c>
    </row>
    <row r="248" spans="1:2" x14ac:dyDescent="0.25">
      <c r="A248" s="16" t="s">
        <v>16</v>
      </c>
    </row>
    <row r="249" spans="1:2" x14ac:dyDescent="0.25">
      <c r="A249" s="16" t="s">
        <v>67</v>
      </c>
    </row>
    <row r="250" spans="1:2" x14ac:dyDescent="0.25">
      <c r="A250" s="16" t="s">
        <v>58</v>
      </c>
    </row>
    <row r="251" spans="1:2" x14ac:dyDescent="0.25">
      <c r="A251" s="16" t="s">
        <v>10</v>
      </c>
      <c r="B251">
        <v>6</v>
      </c>
    </row>
    <row r="252" spans="1:2" x14ac:dyDescent="0.25">
      <c r="A252" s="17" t="s">
        <v>34</v>
      </c>
    </row>
    <row r="253" spans="1:2" x14ac:dyDescent="0.25">
      <c r="A253" s="17" t="s">
        <v>50</v>
      </c>
    </row>
    <row r="254" spans="1:2" x14ac:dyDescent="0.25">
      <c r="A254" s="17" t="s">
        <v>168</v>
      </c>
    </row>
    <row r="255" spans="1:2" x14ac:dyDescent="0.25">
      <c r="A255" s="17" t="s">
        <v>49</v>
      </c>
      <c r="B255">
        <v>7</v>
      </c>
    </row>
    <row r="256" spans="1:2" x14ac:dyDescent="0.25">
      <c r="A256" s="17" t="s">
        <v>61</v>
      </c>
    </row>
    <row r="257" spans="1:2" x14ac:dyDescent="0.25">
      <c r="A257" s="17" t="s">
        <v>69</v>
      </c>
    </row>
    <row r="258" spans="1:2" x14ac:dyDescent="0.25">
      <c r="A258" s="17" t="s">
        <v>27</v>
      </c>
    </row>
    <row r="259" spans="1:2" x14ac:dyDescent="0.25">
      <c r="A259" s="17" t="s">
        <v>13</v>
      </c>
      <c r="B259">
        <v>8</v>
      </c>
    </row>
    <row r="260" spans="1:2" x14ac:dyDescent="0.25">
      <c r="A260" s="17" t="s">
        <v>28</v>
      </c>
    </row>
    <row r="261" spans="1:2" x14ac:dyDescent="0.25">
      <c r="A261" s="17" t="s">
        <v>166</v>
      </c>
    </row>
    <row r="262" spans="1:2" x14ac:dyDescent="0.25">
      <c r="A262" s="17" t="s">
        <v>42</v>
      </c>
    </row>
    <row r="263" spans="1:2" x14ac:dyDescent="0.25">
      <c r="A263" s="17" t="s">
        <v>6</v>
      </c>
      <c r="B263">
        <v>9</v>
      </c>
    </row>
    <row r="264" spans="1:2" x14ac:dyDescent="0.25">
      <c r="A264" s="17" t="s">
        <v>31</v>
      </c>
    </row>
    <row r="265" spans="1:2" x14ac:dyDescent="0.25">
      <c r="A265" s="17" t="s">
        <v>169</v>
      </c>
    </row>
    <row r="266" spans="1:2" x14ac:dyDescent="0.25">
      <c r="A266" s="17" t="s">
        <v>62</v>
      </c>
    </row>
    <row r="267" spans="1:2" x14ac:dyDescent="0.25">
      <c r="A267" s="17" t="s">
        <v>23</v>
      </c>
      <c r="B267">
        <v>10</v>
      </c>
    </row>
    <row r="268" spans="1:2" x14ac:dyDescent="0.25">
      <c r="A268" s="17" t="s">
        <v>18</v>
      </c>
    </row>
    <row r="269" spans="1:2" x14ac:dyDescent="0.25">
      <c r="A269" s="17" t="s">
        <v>57</v>
      </c>
    </row>
    <row r="270" spans="1:2" x14ac:dyDescent="0.25">
      <c r="A270" s="17" t="s">
        <v>65</v>
      </c>
    </row>
    <row r="271" spans="1:2" x14ac:dyDescent="0.25">
      <c r="A271" s="17" t="s">
        <v>55</v>
      </c>
      <c r="B271">
        <v>11</v>
      </c>
    </row>
    <row r="272" spans="1:2" x14ac:dyDescent="0.25">
      <c r="A272" s="17" t="s">
        <v>69</v>
      </c>
    </row>
    <row r="273" spans="1:2" x14ac:dyDescent="0.25">
      <c r="A273" s="17" t="s">
        <v>11</v>
      </c>
    </row>
    <row r="274" spans="1:2" x14ac:dyDescent="0.25">
      <c r="A274" s="17" t="s">
        <v>60</v>
      </c>
    </row>
    <row r="275" spans="1:2" x14ac:dyDescent="0.25">
      <c r="A275" s="17" t="s">
        <v>64</v>
      </c>
      <c r="B275">
        <v>12</v>
      </c>
    </row>
    <row r="276" spans="1:2" x14ac:dyDescent="0.25">
      <c r="A276" s="17" t="s">
        <v>52</v>
      </c>
    </row>
    <row r="277" spans="1:2" x14ac:dyDescent="0.25">
      <c r="A277" s="17" t="s">
        <v>40</v>
      </c>
    </row>
    <row r="278" spans="1:2" x14ac:dyDescent="0.25">
      <c r="A278" s="17" t="s">
        <v>5</v>
      </c>
    </row>
    <row r="279" spans="1:2" x14ac:dyDescent="0.25">
      <c r="A279" s="17" t="s">
        <v>10</v>
      </c>
      <c r="B279">
        <v>13</v>
      </c>
    </row>
    <row r="280" spans="1:2" x14ac:dyDescent="0.25">
      <c r="A280" s="17" t="s">
        <v>39</v>
      </c>
    </row>
    <row r="281" spans="1:2" x14ac:dyDescent="0.25">
      <c r="A281" s="17" t="s">
        <v>66</v>
      </c>
    </row>
    <row r="282" spans="1:2" x14ac:dyDescent="0.25">
      <c r="A282" s="17" t="s">
        <v>35</v>
      </c>
    </row>
    <row r="283" spans="1:2" x14ac:dyDescent="0.25">
      <c r="A283" s="17" t="s">
        <v>19</v>
      </c>
      <c r="B283">
        <v>14</v>
      </c>
    </row>
    <row r="284" spans="1:2" x14ac:dyDescent="0.25">
      <c r="A284" s="17" t="s">
        <v>68</v>
      </c>
    </row>
    <row r="285" spans="1:2" x14ac:dyDescent="0.25">
      <c r="A285" s="17" t="s">
        <v>16</v>
      </c>
    </row>
    <row r="286" spans="1:2" x14ac:dyDescent="0.25">
      <c r="A286" s="17" t="s">
        <v>61</v>
      </c>
    </row>
    <row r="287" spans="1:2" x14ac:dyDescent="0.25">
      <c r="A287" s="17" t="s">
        <v>55</v>
      </c>
      <c r="B287">
        <v>15</v>
      </c>
    </row>
    <row r="288" spans="1:2" x14ac:dyDescent="0.25">
      <c r="A288" s="17" t="s">
        <v>5</v>
      </c>
    </row>
    <row r="289" spans="1:2" x14ac:dyDescent="0.25">
      <c r="A289" s="17" t="s">
        <v>172</v>
      </c>
    </row>
    <row r="290" spans="1:2" x14ac:dyDescent="0.25">
      <c r="A290" s="17" t="s">
        <v>34</v>
      </c>
    </row>
    <row r="291" spans="1:2" x14ac:dyDescent="0.25">
      <c r="A291" s="21" t="s">
        <v>64</v>
      </c>
      <c r="B291" t="s">
        <v>171</v>
      </c>
    </row>
    <row r="292" spans="1:2" x14ac:dyDescent="0.25">
      <c r="A292" s="21" t="s">
        <v>5</v>
      </c>
    </row>
    <row r="293" spans="1:2" x14ac:dyDescent="0.25">
      <c r="A293" s="21" t="s">
        <v>40</v>
      </c>
    </row>
    <row r="294" spans="1:2" x14ac:dyDescent="0.25">
      <c r="A294" s="21" t="s">
        <v>52</v>
      </c>
    </row>
    <row r="295" spans="1:2" x14ac:dyDescent="0.25">
      <c r="A295" s="21" t="s">
        <v>53</v>
      </c>
      <c r="B295">
        <v>2</v>
      </c>
    </row>
    <row r="296" spans="1:2" x14ac:dyDescent="0.25">
      <c r="A296" s="21" t="s">
        <v>72</v>
      </c>
    </row>
    <row r="297" spans="1:2" x14ac:dyDescent="0.25">
      <c r="A297" s="21" t="s">
        <v>7</v>
      </c>
    </row>
    <row r="298" spans="1:2" x14ac:dyDescent="0.25">
      <c r="A298" s="21" t="s">
        <v>58</v>
      </c>
    </row>
    <row r="299" spans="1:2" x14ac:dyDescent="0.25">
      <c r="A299" s="21" t="s">
        <v>10</v>
      </c>
      <c r="B299">
        <v>3</v>
      </c>
    </row>
    <row r="300" spans="1:2" x14ac:dyDescent="0.25">
      <c r="A300" s="21" t="s">
        <v>11</v>
      </c>
    </row>
    <row r="301" spans="1:2" x14ac:dyDescent="0.25">
      <c r="A301" s="21" t="s">
        <v>12</v>
      </c>
    </row>
    <row r="302" spans="1:2" x14ac:dyDescent="0.25">
      <c r="A302" s="21" t="s">
        <v>73</v>
      </c>
    </row>
    <row r="303" spans="1:2" x14ac:dyDescent="0.25">
      <c r="A303" s="21" t="s">
        <v>13</v>
      </c>
      <c r="B303">
        <v>4</v>
      </c>
    </row>
    <row r="304" spans="1:2" x14ac:dyDescent="0.25">
      <c r="A304" s="21" t="s">
        <v>169</v>
      </c>
    </row>
    <row r="305" spans="1:2" x14ac:dyDescent="0.25">
      <c r="A305" s="21" t="s">
        <v>14</v>
      </c>
    </row>
    <row r="306" spans="1:2" x14ac:dyDescent="0.25">
      <c r="A306" s="21" t="s">
        <v>46</v>
      </c>
    </row>
    <row r="307" spans="1:2" x14ac:dyDescent="0.25">
      <c r="A307" s="21" t="s">
        <v>47</v>
      </c>
      <c r="B307">
        <v>5</v>
      </c>
    </row>
    <row r="308" spans="1:2" x14ac:dyDescent="0.25">
      <c r="A308" s="21" t="s">
        <v>16</v>
      </c>
    </row>
    <row r="309" spans="1:2" x14ac:dyDescent="0.25">
      <c r="A309" s="21" t="s">
        <v>168</v>
      </c>
    </row>
    <row r="310" spans="1:2" x14ac:dyDescent="0.25">
      <c r="A310" s="21" t="s">
        <v>18</v>
      </c>
    </row>
    <row r="311" spans="1:2" x14ac:dyDescent="0.25">
      <c r="A311" s="21" t="s">
        <v>49</v>
      </c>
      <c r="B311">
        <v>6</v>
      </c>
    </row>
    <row r="312" spans="1:2" x14ac:dyDescent="0.25">
      <c r="A312" s="21" t="s">
        <v>35</v>
      </c>
    </row>
    <row r="313" spans="1:2" x14ac:dyDescent="0.25">
      <c r="A313" s="21" t="s">
        <v>69</v>
      </c>
    </row>
    <row r="314" spans="1:2" x14ac:dyDescent="0.25">
      <c r="A314" s="21" t="s">
        <v>62</v>
      </c>
    </row>
    <row r="315" spans="1:2" x14ac:dyDescent="0.25">
      <c r="A315" s="21" t="s">
        <v>36</v>
      </c>
      <c r="B315">
        <v>7</v>
      </c>
    </row>
    <row r="316" spans="1:2" x14ac:dyDescent="0.25">
      <c r="A316" s="21" t="s">
        <v>39</v>
      </c>
    </row>
    <row r="317" spans="1:2" x14ac:dyDescent="0.25">
      <c r="A317" s="21" t="s">
        <v>166</v>
      </c>
    </row>
    <row r="318" spans="1:2" x14ac:dyDescent="0.25">
      <c r="A318" s="21" t="s">
        <v>51</v>
      </c>
    </row>
    <row r="319" spans="1:2" x14ac:dyDescent="0.25">
      <c r="A319" s="21" t="s">
        <v>71</v>
      </c>
      <c r="B319">
        <v>8</v>
      </c>
    </row>
    <row r="320" spans="1:2" x14ac:dyDescent="0.25">
      <c r="A320" s="21" t="s">
        <v>5</v>
      </c>
    </row>
    <row r="321" spans="1:2" x14ac:dyDescent="0.25">
      <c r="A321" s="21" t="s">
        <v>3</v>
      </c>
    </row>
    <row r="322" spans="1:2" x14ac:dyDescent="0.25">
      <c r="A322" s="21" t="s">
        <v>41</v>
      </c>
    </row>
    <row r="323" spans="1:2" x14ac:dyDescent="0.25">
      <c r="A323" s="21" t="s">
        <v>53</v>
      </c>
      <c r="B323">
        <v>9</v>
      </c>
    </row>
    <row r="324" spans="1:2" x14ac:dyDescent="0.25">
      <c r="A324" s="21" t="s">
        <v>72</v>
      </c>
    </row>
    <row r="325" spans="1:2" x14ac:dyDescent="0.25">
      <c r="A325" s="21" t="s">
        <v>7</v>
      </c>
    </row>
    <row r="326" spans="1:2" x14ac:dyDescent="0.25">
      <c r="A326" s="21" t="s">
        <v>42</v>
      </c>
    </row>
    <row r="327" spans="1:2" x14ac:dyDescent="0.25">
      <c r="A327" s="21" t="s">
        <v>54</v>
      </c>
      <c r="B327">
        <v>10</v>
      </c>
    </row>
    <row r="328" spans="1:2" x14ac:dyDescent="0.25">
      <c r="A328" s="21" t="s">
        <v>11</v>
      </c>
    </row>
    <row r="329" spans="1:2" x14ac:dyDescent="0.25">
      <c r="A329" s="21" t="s">
        <v>60</v>
      </c>
    </row>
    <row r="330" spans="1:2" x14ac:dyDescent="0.25">
      <c r="A330" s="21" t="s">
        <v>66</v>
      </c>
    </row>
    <row r="331" spans="1:2" x14ac:dyDescent="0.25">
      <c r="A331" s="21" t="s">
        <v>30</v>
      </c>
      <c r="B331">
        <v>11</v>
      </c>
    </row>
    <row r="332" spans="1:2" x14ac:dyDescent="0.25">
      <c r="A332" s="21" t="s">
        <v>67</v>
      </c>
    </row>
    <row r="333" spans="1:2" x14ac:dyDescent="0.25">
      <c r="A333" s="21" t="s">
        <v>31</v>
      </c>
    </row>
    <row r="334" spans="1:2" x14ac:dyDescent="0.25">
      <c r="A334" s="21" t="s">
        <v>61</v>
      </c>
    </row>
    <row r="335" spans="1:2" x14ac:dyDescent="0.25">
      <c r="A335" s="21" t="s">
        <v>55</v>
      </c>
      <c r="B335">
        <v>12</v>
      </c>
    </row>
    <row r="336" spans="1:2" x14ac:dyDescent="0.25">
      <c r="A336" s="21" t="s">
        <v>48</v>
      </c>
    </row>
    <row r="337" spans="1:2" x14ac:dyDescent="0.25">
      <c r="A337" s="21" t="s">
        <v>68</v>
      </c>
    </row>
    <row r="338" spans="1:2" x14ac:dyDescent="0.25">
      <c r="A338" s="21" t="s">
        <v>34</v>
      </c>
    </row>
    <row r="339" spans="1:2" x14ac:dyDescent="0.25">
      <c r="A339" s="21" t="s">
        <v>50</v>
      </c>
      <c r="B339">
        <v>13</v>
      </c>
    </row>
    <row r="340" spans="1:2" x14ac:dyDescent="0.25">
      <c r="A340" s="21" t="s">
        <v>172</v>
      </c>
    </row>
    <row r="341" spans="1:2" x14ac:dyDescent="0.25">
      <c r="A341" s="21" t="s">
        <v>22</v>
      </c>
    </row>
    <row r="342" spans="1:2" x14ac:dyDescent="0.25">
      <c r="A342" s="21" t="s">
        <v>19</v>
      </c>
    </row>
    <row r="343" spans="1:2" x14ac:dyDescent="0.25">
      <c r="A343" s="21" t="s">
        <v>57</v>
      </c>
      <c r="B343">
        <v>14</v>
      </c>
    </row>
    <row r="344" spans="1:2" x14ac:dyDescent="0.25">
      <c r="A344" s="21" t="s">
        <v>70</v>
      </c>
    </row>
    <row r="345" spans="1:2" x14ac:dyDescent="0.25">
      <c r="A345" s="21" t="s">
        <v>25</v>
      </c>
    </row>
    <row r="346" spans="1:2" x14ac:dyDescent="0.25">
      <c r="A346" s="21" t="s">
        <v>23</v>
      </c>
    </row>
    <row r="347" spans="1:2" x14ac:dyDescent="0.25">
      <c r="A347" s="21" t="s">
        <v>41</v>
      </c>
      <c r="B347">
        <v>15</v>
      </c>
    </row>
    <row r="348" spans="1:2" x14ac:dyDescent="0.25">
      <c r="A348" s="21" t="s">
        <v>40</v>
      </c>
    </row>
    <row r="349" spans="1:2" x14ac:dyDescent="0.25">
      <c r="A349" s="21" t="s">
        <v>64</v>
      </c>
    </row>
    <row r="350" spans="1:2" x14ac:dyDescent="0.25">
      <c r="A350" s="21" t="s">
        <v>27</v>
      </c>
    </row>
    <row r="351" spans="1:2" x14ac:dyDescent="0.25">
      <c r="A351" s="24" t="s">
        <v>51</v>
      </c>
      <c r="B351" t="s">
        <v>176</v>
      </c>
    </row>
    <row r="352" spans="1:2" x14ac:dyDescent="0.25">
      <c r="A352" s="24" t="s">
        <v>13</v>
      </c>
    </row>
    <row r="353" spans="1:2" x14ac:dyDescent="0.25">
      <c r="A353" s="24" t="s">
        <v>11</v>
      </c>
    </row>
    <row r="354" spans="1:2" x14ac:dyDescent="0.25">
      <c r="A354" s="24" t="s">
        <v>166</v>
      </c>
    </row>
    <row r="355" spans="1:2" x14ac:dyDescent="0.25">
      <c r="A355" s="24" t="s">
        <v>42</v>
      </c>
      <c r="B355">
        <v>2</v>
      </c>
    </row>
    <row r="356" spans="1:2" x14ac:dyDescent="0.25">
      <c r="A356" s="24" t="s">
        <v>12</v>
      </c>
    </row>
    <row r="357" spans="1:2" x14ac:dyDescent="0.25">
      <c r="A357" s="24" t="s">
        <v>49</v>
      </c>
    </row>
    <row r="358" spans="1:2" x14ac:dyDescent="0.25">
      <c r="A358" s="24" t="s">
        <v>69</v>
      </c>
    </row>
    <row r="359" spans="1:2" x14ac:dyDescent="0.25">
      <c r="A359" s="24" t="s">
        <v>66</v>
      </c>
      <c r="B359">
        <v>3</v>
      </c>
    </row>
    <row r="360" spans="1:2" x14ac:dyDescent="0.25">
      <c r="A360" s="24" t="s">
        <v>25</v>
      </c>
    </row>
    <row r="361" spans="1:2" x14ac:dyDescent="0.25">
      <c r="A361" s="24" t="s">
        <v>23</v>
      </c>
    </row>
    <row r="362" spans="1:2" x14ac:dyDescent="0.25">
      <c r="A362" s="24" t="s">
        <v>3</v>
      </c>
    </row>
    <row r="363" spans="1:2" x14ac:dyDescent="0.25">
      <c r="A363" s="24" t="s">
        <v>55</v>
      </c>
      <c r="B363">
        <v>4</v>
      </c>
    </row>
    <row r="364" spans="1:2" x14ac:dyDescent="0.25">
      <c r="A364" s="24" t="s">
        <v>22</v>
      </c>
    </row>
    <row r="365" spans="1:2" x14ac:dyDescent="0.25">
      <c r="A365" s="24" t="s">
        <v>72</v>
      </c>
    </row>
    <row r="366" spans="1:2" x14ac:dyDescent="0.25">
      <c r="A366" s="24" t="s">
        <v>7</v>
      </c>
    </row>
    <row r="367" spans="1:2" x14ac:dyDescent="0.25">
      <c r="A367" s="24" t="s">
        <v>62</v>
      </c>
      <c r="B367">
        <v>5</v>
      </c>
    </row>
    <row r="368" spans="1:2" x14ac:dyDescent="0.25">
      <c r="A368" s="24" t="s">
        <v>14</v>
      </c>
    </row>
    <row r="369" spans="1:2" x14ac:dyDescent="0.25">
      <c r="A369" s="24" t="s">
        <v>64</v>
      </c>
    </row>
    <row r="370" spans="1:2" x14ac:dyDescent="0.25">
      <c r="A370" s="24" t="s">
        <v>18</v>
      </c>
    </row>
    <row r="371" spans="1:2" x14ac:dyDescent="0.25">
      <c r="A371" s="24" t="s">
        <v>61</v>
      </c>
      <c r="B371">
        <v>6</v>
      </c>
    </row>
    <row r="372" spans="1:2" x14ac:dyDescent="0.25">
      <c r="A372" s="24" t="s">
        <v>27</v>
      </c>
    </row>
    <row r="373" spans="1:2" x14ac:dyDescent="0.25">
      <c r="A373" s="24" t="s">
        <v>169</v>
      </c>
    </row>
    <row r="374" spans="1:2" x14ac:dyDescent="0.25">
      <c r="A374" s="24" t="s">
        <v>54</v>
      </c>
    </row>
    <row r="375" spans="1:2" x14ac:dyDescent="0.25">
      <c r="A375" s="24" t="s">
        <v>41</v>
      </c>
      <c r="B375">
        <v>7</v>
      </c>
    </row>
    <row r="376" spans="1:2" x14ac:dyDescent="0.25">
      <c r="A376" s="24" t="s">
        <v>68</v>
      </c>
    </row>
    <row r="377" spans="1:2" x14ac:dyDescent="0.25">
      <c r="A377" s="24" t="s">
        <v>53</v>
      </c>
    </row>
    <row r="378" spans="1:2" x14ac:dyDescent="0.25">
      <c r="A378" s="24" t="s">
        <v>16</v>
      </c>
    </row>
    <row r="379" spans="1:2" x14ac:dyDescent="0.25">
      <c r="A379" s="24" t="s">
        <v>51</v>
      </c>
      <c r="B379">
        <v>8</v>
      </c>
    </row>
    <row r="380" spans="1:2" x14ac:dyDescent="0.25">
      <c r="A380" s="24" t="s">
        <v>35</v>
      </c>
    </row>
    <row r="381" spans="1:2" x14ac:dyDescent="0.25">
      <c r="A381" s="24" t="s">
        <v>67</v>
      </c>
    </row>
    <row r="382" spans="1:2" x14ac:dyDescent="0.25">
      <c r="A382" s="24" t="s">
        <v>13</v>
      </c>
    </row>
    <row r="383" spans="1:2" x14ac:dyDescent="0.25">
      <c r="A383" s="24" t="s">
        <v>52</v>
      </c>
      <c r="B383">
        <v>9</v>
      </c>
    </row>
    <row r="384" spans="1:2" x14ac:dyDescent="0.25">
      <c r="A384" s="24" t="s">
        <v>71</v>
      </c>
    </row>
    <row r="385" spans="1:2" x14ac:dyDescent="0.25">
      <c r="A385" s="24" t="s">
        <v>14</v>
      </c>
    </row>
    <row r="386" spans="1:2" x14ac:dyDescent="0.25">
      <c r="A386" s="24" t="s">
        <v>12</v>
      </c>
    </row>
    <row r="387" spans="1:2" x14ac:dyDescent="0.25">
      <c r="A387" s="24" t="s">
        <v>42</v>
      </c>
      <c r="B387">
        <v>10</v>
      </c>
    </row>
    <row r="388" spans="1:2" x14ac:dyDescent="0.25">
      <c r="A388" s="24" t="s">
        <v>72</v>
      </c>
    </row>
    <row r="389" spans="1:2" x14ac:dyDescent="0.25">
      <c r="A389" s="24" t="s">
        <v>53</v>
      </c>
    </row>
    <row r="390" spans="1:2" x14ac:dyDescent="0.25">
      <c r="A390" s="24" t="s">
        <v>7</v>
      </c>
    </row>
    <row r="391" spans="1:2" x14ac:dyDescent="0.25">
      <c r="A391" s="24" t="s">
        <v>61</v>
      </c>
      <c r="B391">
        <v>11</v>
      </c>
    </row>
    <row r="392" spans="1:2" x14ac:dyDescent="0.25">
      <c r="A392" s="24" t="s">
        <v>168</v>
      </c>
    </row>
    <row r="393" spans="1:2" x14ac:dyDescent="0.25">
      <c r="A393" s="24" t="s">
        <v>25</v>
      </c>
    </row>
    <row r="394" spans="1:2" x14ac:dyDescent="0.25">
      <c r="A394" s="24" t="s">
        <v>54</v>
      </c>
    </row>
    <row r="395" spans="1:2" x14ac:dyDescent="0.25">
      <c r="A395" s="24" t="s">
        <v>66</v>
      </c>
      <c r="B395">
        <v>12</v>
      </c>
    </row>
    <row r="396" spans="1:2" x14ac:dyDescent="0.25">
      <c r="A396" s="24" t="s">
        <v>40</v>
      </c>
    </row>
    <row r="397" spans="1:2" x14ac:dyDescent="0.25">
      <c r="A397" s="24" t="s">
        <v>27</v>
      </c>
    </row>
    <row r="398" spans="1:2" x14ac:dyDescent="0.25">
      <c r="A398" s="24" t="s">
        <v>49</v>
      </c>
    </row>
    <row r="399" spans="1:2" x14ac:dyDescent="0.25">
      <c r="A399" s="24" t="s">
        <v>47</v>
      </c>
      <c r="B399">
        <v>13</v>
      </c>
    </row>
    <row r="400" spans="1:2" x14ac:dyDescent="0.25">
      <c r="A400" s="24" t="s">
        <v>16</v>
      </c>
    </row>
    <row r="401" spans="1:2" x14ac:dyDescent="0.25">
      <c r="A401" s="24" t="s">
        <v>43</v>
      </c>
    </row>
    <row r="402" spans="1:2" x14ac:dyDescent="0.25">
      <c r="A402" s="24" t="s">
        <v>166</v>
      </c>
    </row>
    <row r="403" spans="1:2" x14ac:dyDescent="0.25">
      <c r="A403" s="24" t="s">
        <v>62</v>
      </c>
      <c r="B403">
        <v>14</v>
      </c>
    </row>
    <row r="404" spans="1:2" x14ac:dyDescent="0.25">
      <c r="A404" s="24" t="s">
        <v>69</v>
      </c>
    </row>
    <row r="405" spans="1:2" x14ac:dyDescent="0.25">
      <c r="A405" s="24" t="s">
        <v>36</v>
      </c>
    </row>
    <row r="406" spans="1:2" x14ac:dyDescent="0.25">
      <c r="A406" s="24" t="s">
        <v>18</v>
      </c>
    </row>
    <row r="407" spans="1:2" x14ac:dyDescent="0.25">
      <c r="A407" s="24" t="s">
        <v>41</v>
      </c>
      <c r="B407">
        <v>15</v>
      </c>
    </row>
    <row r="408" spans="1:2" x14ac:dyDescent="0.25">
      <c r="A408" s="24" t="s">
        <v>27</v>
      </c>
    </row>
    <row r="409" spans="1:2" x14ac:dyDescent="0.25">
      <c r="A409" s="24" t="s">
        <v>71</v>
      </c>
    </row>
    <row r="410" spans="1:2" x14ac:dyDescent="0.25">
      <c r="A410" s="24" t="s">
        <v>3</v>
      </c>
    </row>
    <row r="411" spans="1:2" x14ac:dyDescent="0.25">
      <c r="A411" s="26" t="s">
        <v>58</v>
      </c>
      <c r="B411" t="s">
        <v>179</v>
      </c>
    </row>
    <row r="412" spans="1:2" x14ac:dyDescent="0.25">
      <c r="A412" s="26" t="s">
        <v>48</v>
      </c>
    </row>
    <row r="413" spans="1:2" x14ac:dyDescent="0.25">
      <c r="A413" s="26" t="s">
        <v>34</v>
      </c>
    </row>
    <row r="414" spans="1:2" x14ac:dyDescent="0.25">
      <c r="A414" s="26" t="s">
        <v>64</v>
      </c>
    </row>
    <row r="415" spans="1:2" x14ac:dyDescent="0.25">
      <c r="A415" s="26" t="s">
        <v>52</v>
      </c>
      <c r="B415">
        <v>2</v>
      </c>
    </row>
    <row r="416" spans="1:2" x14ac:dyDescent="0.25">
      <c r="A416" s="26" t="s">
        <v>172</v>
      </c>
    </row>
    <row r="417" spans="1:1" x14ac:dyDescent="0.25">
      <c r="A417" s="26" t="s">
        <v>36</v>
      </c>
    </row>
    <row r="418" spans="1:1" x14ac:dyDescent="0.25">
      <c r="A418" s="26" t="s">
        <v>60</v>
      </c>
    </row>
    <row r="419" spans="1:1" x14ac:dyDescent="0.25">
      <c r="A419" s="26"/>
    </row>
    <row r="420" spans="1:1" x14ac:dyDescent="0.25">
      <c r="A420" s="26"/>
    </row>
    <row r="421" spans="1:1" x14ac:dyDescent="0.25">
      <c r="A421" s="26"/>
    </row>
    <row r="422" spans="1:1" x14ac:dyDescent="0.25">
      <c r="A422" s="26"/>
    </row>
    <row r="423" spans="1:1" x14ac:dyDescent="0.25">
      <c r="A423" s="26"/>
    </row>
    <row r="424" spans="1:1" x14ac:dyDescent="0.25">
      <c r="A424" s="26"/>
    </row>
    <row r="425" spans="1:1" x14ac:dyDescent="0.25">
      <c r="A425" s="26"/>
    </row>
    <row r="426" spans="1:1" x14ac:dyDescent="0.25">
      <c r="A426" s="26"/>
    </row>
    <row r="427" spans="1:1" x14ac:dyDescent="0.25">
      <c r="A427" s="26"/>
    </row>
    <row r="428" spans="1:1" x14ac:dyDescent="0.25">
      <c r="A428" s="26"/>
    </row>
    <row r="429" spans="1:1" x14ac:dyDescent="0.25">
      <c r="A429" s="26"/>
    </row>
    <row r="430" spans="1:1" x14ac:dyDescent="0.25">
      <c r="A430" s="26"/>
    </row>
    <row r="431" spans="1:1" x14ac:dyDescent="0.25">
      <c r="A431" s="26"/>
    </row>
    <row r="432" spans="1:1" x14ac:dyDescent="0.25">
      <c r="A432" s="26"/>
    </row>
    <row r="433" spans="1:1" x14ac:dyDescent="0.25">
      <c r="A433" s="26"/>
    </row>
    <row r="434" spans="1:1" x14ac:dyDescent="0.25">
      <c r="A434" s="26"/>
    </row>
    <row r="435" spans="1:1" x14ac:dyDescent="0.25">
      <c r="A435" s="26"/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selection activeCell="D18" sqref="D18"/>
    </sheetView>
  </sheetViews>
  <sheetFormatPr baseColWidth="10" defaultRowHeight="15" x14ac:dyDescent="0.25"/>
  <sheetData>
    <row r="1" spans="1:10" x14ac:dyDescent="0.25">
      <c r="A1" t="s">
        <v>78</v>
      </c>
      <c r="B1" s="7" t="s">
        <v>79</v>
      </c>
      <c r="C1" s="7" t="s">
        <v>80</v>
      </c>
      <c r="D1" s="7" t="s">
        <v>81</v>
      </c>
      <c r="E1" t="s">
        <v>82</v>
      </c>
    </row>
    <row r="4" spans="1:10" x14ac:dyDescent="0.25">
      <c r="E4" s="8"/>
      <c r="F4" s="8"/>
      <c r="G4" s="8"/>
    </row>
    <row r="5" spans="1:10" x14ac:dyDescent="0.25">
      <c r="A5" s="1" t="s">
        <v>39</v>
      </c>
      <c r="B5" s="9" t="s">
        <v>83</v>
      </c>
      <c r="C5" s="9" t="s">
        <v>84</v>
      </c>
      <c r="D5" s="9" t="s">
        <v>85</v>
      </c>
      <c r="E5" s="1" t="s">
        <v>4</v>
      </c>
      <c r="H5" t="s">
        <v>173</v>
      </c>
      <c r="J5" t="s">
        <v>174</v>
      </c>
    </row>
    <row r="6" spans="1:10" x14ac:dyDescent="0.25">
      <c r="B6" s="9" t="s">
        <v>86</v>
      </c>
      <c r="D6" s="9" t="s">
        <v>87</v>
      </c>
      <c r="E6" s="3" t="s">
        <v>48</v>
      </c>
      <c r="J6" t="s">
        <v>175</v>
      </c>
    </row>
    <row r="7" spans="1:10" x14ac:dyDescent="0.25">
      <c r="A7" s="10" t="s">
        <v>27</v>
      </c>
      <c r="B7" s="11" t="s">
        <v>84</v>
      </c>
      <c r="C7" s="11" t="s">
        <v>87</v>
      </c>
      <c r="D7" s="11" t="s">
        <v>85</v>
      </c>
      <c r="E7" s="12" t="s">
        <v>34</v>
      </c>
    </row>
    <row r="8" spans="1:10" x14ac:dyDescent="0.25">
      <c r="A8" s="3" t="s">
        <v>54</v>
      </c>
      <c r="B8" s="11" t="s">
        <v>83</v>
      </c>
      <c r="C8" s="11" t="s">
        <v>88</v>
      </c>
      <c r="D8" s="11" t="s">
        <v>89</v>
      </c>
      <c r="E8" s="18" t="s">
        <v>71</v>
      </c>
      <c r="H8">
        <v>2025</v>
      </c>
      <c r="I8" t="s">
        <v>178</v>
      </c>
    </row>
    <row r="9" spans="1:10" x14ac:dyDescent="0.25">
      <c r="A9" s="13" t="s">
        <v>28</v>
      </c>
      <c r="B9" s="12" t="s">
        <v>87</v>
      </c>
      <c r="C9" s="12" t="s">
        <v>85</v>
      </c>
      <c r="D9" s="12" t="s">
        <v>88</v>
      </c>
      <c r="E9" s="20" t="s">
        <v>14</v>
      </c>
    </row>
    <row r="10" spans="1:10" x14ac:dyDescent="0.25">
      <c r="A10" s="13" t="s">
        <v>53</v>
      </c>
      <c r="B10" s="12" t="s">
        <v>83</v>
      </c>
      <c r="C10" s="12" t="s">
        <v>86</v>
      </c>
      <c r="D10" s="12" t="s">
        <v>84</v>
      </c>
      <c r="E10" s="23" t="s">
        <v>28</v>
      </c>
    </row>
    <row r="11" spans="1:10" x14ac:dyDescent="0.25">
      <c r="A11" s="18" t="s">
        <v>10</v>
      </c>
      <c r="B11" s="19" t="s">
        <v>87</v>
      </c>
      <c r="C11" s="19" t="s">
        <v>88</v>
      </c>
      <c r="D11" s="19" t="s">
        <v>84</v>
      </c>
      <c r="E11" s="11" t="s">
        <v>16</v>
      </c>
    </row>
    <row r="12" spans="1:10" x14ac:dyDescent="0.25">
      <c r="A12" s="18" t="s">
        <v>68</v>
      </c>
      <c r="B12" s="19" t="s">
        <v>90</v>
      </c>
      <c r="C12" s="19" t="s">
        <v>83</v>
      </c>
      <c r="D12" s="19" t="s">
        <v>86</v>
      </c>
    </row>
    <row r="13" spans="1:10" x14ac:dyDescent="0.25">
      <c r="A13" s="17" t="s">
        <v>42</v>
      </c>
      <c r="B13" s="17" t="s">
        <v>88</v>
      </c>
      <c r="C13" s="20" t="s">
        <v>87</v>
      </c>
      <c r="D13" s="17" t="s">
        <v>84</v>
      </c>
    </row>
    <row r="14" spans="1:10" x14ac:dyDescent="0.25">
      <c r="A14" s="17" t="s">
        <v>40</v>
      </c>
      <c r="B14" s="17" t="s">
        <v>85</v>
      </c>
      <c r="C14" s="17" t="s">
        <v>89</v>
      </c>
      <c r="D14" s="17" t="s">
        <v>83</v>
      </c>
    </row>
    <row r="15" spans="1:10" x14ac:dyDescent="0.25">
      <c r="A15" s="22" t="s">
        <v>16</v>
      </c>
      <c r="B15" s="22" t="s">
        <v>87</v>
      </c>
      <c r="C15" s="22" t="s">
        <v>85</v>
      </c>
      <c r="D15" s="22" t="s">
        <v>83</v>
      </c>
    </row>
    <row r="16" spans="1:10" x14ac:dyDescent="0.25">
      <c r="A16" s="22" t="s">
        <v>18</v>
      </c>
      <c r="B16" s="22" t="s">
        <v>86</v>
      </c>
      <c r="C16" s="22" t="s">
        <v>84</v>
      </c>
      <c r="D16" s="22" t="s">
        <v>90</v>
      </c>
    </row>
    <row r="17" spans="1:4" x14ac:dyDescent="0.25">
      <c r="A17" s="25" t="s">
        <v>12</v>
      </c>
      <c r="B17" s="25" t="s">
        <v>84</v>
      </c>
      <c r="C17" s="25" t="s">
        <v>86</v>
      </c>
      <c r="D17" s="25" t="s">
        <v>83</v>
      </c>
    </row>
    <row r="18" spans="1:4" x14ac:dyDescent="0.25">
      <c r="A18" s="25" t="s">
        <v>7</v>
      </c>
      <c r="B18" s="25" t="s">
        <v>87</v>
      </c>
      <c r="C18" s="25" t="s">
        <v>85</v>
      </c>
      <c r="D18" s="25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4"/>
  <sheetViews>
    <sheetView topLeftCell="A90" workbookViewId="0">
      <selection activeCell="C103" sqref="C103"/>
    </sheetView>
  </sheetViews>
  <sheetFormatPr baseColWidth="10" defaultRowHeight="15" x14ac:dyDescent="0.25"/>
  <cols>
    <col min="1" max="1" width="12" bestFit="1" customWidth="1"/>
    <col min="2" max="2" width="11.28515625" bestFit="1" customWidth="1"/>
  </cols>
  <sheetData>
    <row r="1" spans="1:2" x14ac:dyDescent="0.25">
      <c r="A1" t="s">
        <v>91</v>
      </c>
    </row>
    <row r="2" spans="1:2" x14ac:dyDescent="0.25">
      <c r="A2" t="s">
        <v>92</v>
      </c>
      <c r="B2">
        <f>COUNTIF('partidos regular'!A:A,"E*")</f>
        <v>53</v>
      </c>
    </row>
    <row r="3" spans="1:2" x14ac:dyDescent="0.25">
      <c r="A3" t="s">
        <v>93</v>
      </c>
      <c r="B3" s="15">
        <f>(B2/'partidos regular'!$B$1)*100</f>
        <v>50.476190476190474</v>
      </c>
    </row>
    <row r="4" spans="1:2" x14ac:dyDescent="0.25">
      <c r="A4" t="s">
        <v>94</v>
      </c>
      <c r="B4">
        <f>SUM(B6:B13)</f>
        <v>13288.24</v>
      </c>
    </row>
    <row r="5" spans="1:2" x14ac:dyDescent="0.25">
      <c r="A5" t="s">
        <v>95</v>
      </c>
      <c r="B5" s="14">
        <f>B4/'partidos regular'!$B$1</f>
        <v>126.55466666666666</v>
      </c>
    </row>
    <row r="6" spans="1:2" x14ac:dyDescent="0.25">
      <c r="A6" t="s">
        <v>97</v>
      </c>
      <c r="B6">
        <v>1704.78</v>
      </c>
    </row>
    <row r="7" spans="1:2" x14ac:dyDescent="0.25">
      <c r="A7" t="s">
        <v>98</v>
      </c>
      <c r="B7">
        <v>1814.88</v>
      </c>
    </row>
    <row r="8" spans="1:2" x14ac:dyDescent="0.25">
      <c r="A8" t="s">
        <v>99</v>
      </c>
      <c r="B8">
        <v>1970.04</v>
      </c>
    </row>
    <row r="9" spans="1:2" x14ac:dyDescent="0.25">
      <c r="A9" t="s">
        <v>100</v>
      </c>
      <c r="B9">
        <v>2047.52</v>
      </c>
    </row>
    <row r="10" spans="1:2" x14ac:dyDescent="0.25">
      <c r="A10" t="s">
        <v>167</v>
      </c>
      <c r="B10">
        <v>1873.52</v>
      </c>
    </row>
    <row r="11" spans="1:2" x14ac:dyDescent="0.25">
      <c r="A11" t="s">
        <v>170</v>
      </c>
      <c r="B11">
        <v>1812.42</v>
      </c>
    </row>
    <row r="12" spans="1:2" x14ac:dyDescent="0.25">
      <c r="A12" t="s">
        <v>177</v>
      </c>
      <c r="B12">
        <v>1744.1</v>
      </c>
    </row>
    <row r="13" spans="1:2" x14ac:dyDescent="0.25">
      <c r="A13" t="s">
        <v>180</v>
      </c>
      <c r="B13">
        <v>320.98</v>
      </c>
    </row>
    <row r="14" spans="1:2" x14ac:dyDescent="0.25">
      <c r="A14" t="s">
        <v>101</v>
      </c>
    </row>
    <row r="15" spans="1:2" x14ac:dyDescent="0.25">
      <c r="A15" t="s">
        <v>92</v>
      </c>
      <c r="B15">
        <f>COUNTIF('partidos regular'!A:A,"J*")</f>
        <v>63</v>
      </c>
    </row>
    <row r="16" spans="1:2" x14ac:dyDescent="0.25">
      <c r="A16" t="s">
        <v>93</v>
      </c>
      <c r="B16" s="15">
        <f>(B15/'partidos regular'!$B$1)*100</f>
        <v>60</v>
      </c>
    </row>
    <row r="17" spans="1:2" x14ac:dyDescent="0.25">
      <c r="A17" t="s">
        <v>94</v>
      </c>
      <c r="B17">
        <f>SUM(B19:B26)</f>
        <v>14298.02</v>
      </c>
    </row>
    <row r="18" spans="1:2" x14ac:dyDescent="0.25">
      <c r="A18" t="s">
        <v>95</v>
      </c>
      <c r="B18" s="14">
        <f>B17/'partidos regular'!$B$1</f>
        <v>136.17161904761906</v>
      </c>
    </row>
    <row r="19" spans="1:2" x14ac:dyDescent="0.25">
      <c r="A19" t="s">
        <v>97</v>
      </c>
      <c r="B19">
        <v>1501.6</v>
      </c>
    </row>
    <row r="20" spans="1:2" x14ac:dyDescent="0.25">
      <c r="A20" t="s">
        <v>98</v>
      </c>
      <c r="B20">
        <v>1769.2</v>
      </c>
    </row>
    <row r="21" spans="1:2" x14ac:dyDescent="0.25">
      <c r="A21" t="s">
        <v>99</v>
      </c>
      <c r="B21">
        <v>2237</v>
      </c>
    </row>
    <row r="22" spans="1:2" x14ac:dyDescent="0.25">
      <c r="A22" t="s">
        <v>100</v>
      </c>
      <c r="B22">
        <v>2036.44</v>
      </c>
    </row>
    <row r="23" spans="1:2" x14ac:dyDescent="0.25">
      <c r="A23" t="s">
        <v>167</v>
      </c>
      <c r="B23">
        <v>2083.06</v>
      </c>
    </row>
    <row r="24" spans="1:2" x14ac:dyDescent="0.25">
      <c r="A24" t="s">
        <v>170</v>
      </c>
      <c r="B24">
        <v>2223.02</v>
      </c>
    </row>
    <row r="25" spans="1:2" x14ac:dyDescent="0.25">
      <c r="A25" t="s">
        <v>177</v>
      </c>
      <c r="B25">
        <v>2216.42</v>
      </c>
    </row>
    <row r="26" spans="1:2" x14ac:dyDescent="0.25">
      <c r="A26" t="s">
        <v>180</v>
      </c>
      <c r="B26">
        <v>231.28</v>
      </c>
    </row>
    <row r="27" spans="1:2" x14ac:dyDescent="0.25">
      <c r="A27" t="s">
        <v>102</v>
      </c>
    </row>
    <row r="28" spans="1:2" x14ac:dyDescent="0.25">
      <c r="A28" t="s">
        <v>92</v>
      </c>
      <c r="B28">
        <f>COUNTIF('partidos regular'!A:A,"L*")</f>
        <v>51</v>
      </c>
    </row>
    <row r="29" spans="1:2" x14ac:dyDescent="0.25">
      <c r="A29" t="s">
        <v>93</v>
      </c>
      <c r="B29" s="15">
        <f>(B28/'partidos regular'!$B$1)*100</f>
        <v>48.571428571428569</v>
      </c>
    </row>
    <row r="30" spans="1:2" x14ac:dyDescent="0.25">
      <c r="A30" t="s">
        <v>94</v>
      </c>
      <c r="B30">
        <f>SUM(B32:B39)</f>
        <v>13372.72</v>
      </c>
    </row>
    <row r="31" spans="1:2" x14ac:dyDescent="0.25">
      <c r="A31" t="s">
        <v>95</v>
      </c>
      <c r="B31" s="14">
        <f>B30/'partidos regular'!$B$1</f>
        <v>127.35923809523808</v>
      </c>
    </row>
    <row r="32" spans="1:2" x14ac:dyDescent="0.25">
      <c r="A32" t="s">
        <v>97</v>
      </c>
      <c r="B32">
        <v>1757.1</v>
      </c>
    </row>
    <row r="33" spans="1:2" x14ac:dyDescent="0.25">
      <c r="A33" t="s">
        <v>98</v>
      </c>
      <c r="B33">
        <v>1815.4</v>
      </c>
    </row>
    <row r="34" spans="1:2" x14ac:dyDescent="0.25">
      <c r="A34" t="s">
        <v>99</v>
      </c>
      <c r="B34">
        <v>1899.86</v>
      </c>
    </row>
    <row r="35" spans="1:2" x14ac:dyDescent="0.25">
      <c r="A35" t="s">
        <v>100</v>
      </c>
      <c r="B35">
        <v>1750.04</v>
      </c>
    </row>
    <row r="36" spans="1:2" x14ac:dyDescent="0.25">
      <c r="A36" t="s">
        <v>167</v>
      </c>
      <c r="B36">
        <v>1860.94</v>
      </c>
    </row>
    <row r="37" spans="1:2" x14ac:dyDescent="0.25">
      <c r="A37" t="s">
        <v>170</v>
      </c>
      <c r="B37">
        <v>2079.48</v>
      </c>
    </row>
    <row r="38" spans="1:2" x14ac:dyDescent="0.25">
      <c r="A38" t="s">
        <v>177</v>
      </c>
      <c r="B38">
        <v>2032.1</v>
      </c>
    </row>
    <row r="39" spans="1:2" x14ac:dyDescent="0.25">
      <c r="A39" t="s">
        <v>180</v>
      </c>
      <c r="B39">
        <v>177.8</v>
      </c>
    </row>
    <row r="40" spans="1:2" x14ac:dyDescent="0.25">
      <c r="A40" t="s">
        <v>103</v>
      </c>
    </row>
    <row r="41" spans="1:2" x14ac:dyDescent="0.25">
      <c r="A41" t="s">
        <v>92</v>
      </c>
      <c r="B41">
        <f>COUNTIF('partidos regular'!A:A,"C*")</f>
        <v>44</v>
      </c>
    </row>
    <row r="42" spans="1:2" x14ac:dyDescent="0.25">
      <c r="A42" t="s">
        <v>93</v>
      </c>
      <c r="B42" s="15">
        <f>(B41/('partidos regular'!$B$1-14))*100</f>
        <v>48.35164835164835</v>
      </c>
    </row>
    <row r="43" spans="1:2" x14ac:dyDescent="0.25">
      <c r="A43" t="s">
        <v>94</v>
      </c>
      <c r="B43">
        <f>SUM(B45:B52)</f>
        <v>11553.340000000002</v>
      </c>
    </row>
    <row r="44" spans="1:2" x14ac:dyDescent="0.25">
      <c r="A44" t="s">
        <v>95</v>
      </c>
      <c r="B44" s="14">
        <f>B43/('partidos regular'!$B$1-14)</f>
        <v>126.95978021978024</v>
      </c>
    </row>
    <row r="45" spans="1:2" x14ac:dyDescent="0.25">
      <c r="A45" t="s">
        <v>97</v>
      </c>
      <c r="B45">
        <v>0</v>
      </c>
    </row>
    <row r="46" spans="1:2" x14ac:dyDescent="0.25">
      <c r="A46" t="s">
        <v>98</v>
      </c>
      <c r="B46">
        <v>1662.36</v>
      </c>
    </row>
    <row r="47" spans="1:2" x14ac:dyDescent="0.25">
      <c r="A47" t="s">
        <v>99</v>
      </c>
      <c r="B47">
        <v>1787.3</v>
      </c>
    </row>
    <row r="48" spans="1:2" x14ac:dyDescent="0.25">
      <c r="A48" t="s">
        <v>100</v>
      </c>
      <c r="B48">
        <v>2000.46</v>
      </c>
    </row>
    <row r="49" spans="1:2" x14ac:dyDescent="0.25">
      <c r="A49" t="s">
        <v>167</v>
      </c>
      <c r="B49">
        <v>1903.28</v>
      </c>
    </row>
    <row r="50" spans="1:2" x14ac:dyDescent="0.25">
      <c r="A50" t="s">
        <v>170</v>
      </c>
      <c r="B50">
        <v>2131.7800000000002</v>
      </c>
    </row>
    <row r="51" spans="1:2" x14ac:dyDescent="0.25">
      <c r="A51" t="s">
        <v>177</v>
      </c>
      <c r="B51">
        <v>1754.88</v>
      </c>
    </row>
    <row r="52" spans="1:2" x14ac:dyDescent="0.25">
      <c r="A52" t="s">
        <v>180</v>
      </c>
      <c r="B52">
        <v>313.27999999999997</v>
      </c>
    </row>
    <row r="53" spans="1:2" x14ac:dyDescent="0.25">
      <c r="A53" t="s">
        <v>104</v>
      </c>
    </row>
    <row r="54" spans="1:2" x14ac:dyDescent="0.25">
      <c r="A54" t="s">
        <v>92</v>
      </c>
      <c r="B54">
        <f>COUNTIF('partidos regular'!A:A,"G*")</f>
        <v>51</v>
      </c>
    </row>
    <row r="55" spans="1:2" x14ac:dyDescent="0.25">
      <c r="A55" t="s">
        <v>93</v>
      </c>
      <c r="B55" s="15">
        <f>(B54/'partidos regular'!$B$1)*100</f>
        <v>48.571428571428569</v>
      </c>
    </row>
    <row r="56" spans="1:2" x14ac:dyDescent="0.25">
      <c r="A56" t="s">
        <v>94</v>
      </c>
      <c r="B56">
        <f>SUM(B58:B65)</f>
        <v>13685.36</v>
      </c>
    </row>
    <row r="57" spans="1:2" x14ac:dyDescent="0.25">
      <c r="A57" t="s">
        <v>95</v>
      </c>
      <c r="B57" s="14">
        <f>B56/'partidos regular'!$B$1</f>
        <v>130.33676190476191</v>
      </c>
    </row>
    <row r="58" spans="1:2" x14ac:dyDescent="0.25">
      <c r="A58" t="s">
        <v>97</v>
      </c>
      <c r="B58">
        <v>1535.92</v>
      </c>
    </row>
    <row r="59" spans="1:2" x14ac:dyDescent="0.25">
      <c r="A59" t="s">
        <v>98</v>
      </c>
      <c r="B59">
        <v>2053.06</v>
      </c>
    </row>
    <row r="60" spans="1:2" x14ac:dyDescent="0.25">
      <c r="A60" t="s">
        <v>99</v>
      </c>
      <c r="B60">
        <v>1728.92</v>
      </c>
    </row>
    <row r="61" spans="1:2" x14ac:dyDescent="0.25">
      <c r="A61" t="s">
        <v>100</v>
      </c>
      <c r="B61">
        <v>1896.22</v>
      </c>
    </row>
    <row r="62" spans="1:2" x14ac:dyDescent="0.25">
      <c r="A62" t="s">
        <v>167</v>
      </c>
      <c r="B62">
        <v>1954.92</v>
      </c>
    </row>
    <row r="63" spans="1:2" x14ac:dyDescent="0.25">
      <c r="A63" t="s">
        <v>170</v>
      </c>
      <c r="B63">
        <v>1977.7</v>
      </c>
    </row>
    <row r="64" spans="1:2" x14ac:dyDescent="0.25">
      <c r="A64" t="s">
        <v>177</v>
      </c>
      <c r="B64">
        <v>2210.3000000000002</v>
      </c>
    </row>
    <row r="65" spans="1:2" x14ac:dyDescent="0.25">
      <c r="A65" t="s">
        <v>180</v>
      </c>
      <c r="B65">
        <v>328.32</v>
      </c>
    </row>
    <row r="66" spans="1:2" x14ac:dyDescent="0.25">
      <c r="A66" t="s">
        <v>105</v>
      </c>
    </row>
    <row r="67" spans="1:2" x14ac:dyDescent="0.25">
      <c r="A67" t="s">
        <v>92</v>
      </c>
      <c r="B67">
        <f>COUNTIF('partidos regular'!A:A,"S*")</f>
        <v>52</v>
      </c>
    </row>
    <row r="68" spans="1:2" x14ac:dyDescent="0.25">
      <c r="A68" t="s">
        <v>93</v>
      </c>
      <c r="B68" s="15">
        <f>(B67/'partidos regular'!$B$1)*100</f>
        <v>49.523809523809526</v>
      </c>
    </row>
    <row r="69" spans="1:2" x14ac:dyDescent="0.25">
      <c r="A69" t="s">
        <v>94</v>
      </c>
      <c r="B69">
        <f>SUM(B71:B78)</f>
        <v>13737.48</v>
      </c>
    </row>
    <row r="70" spans="1:2" x14ac:dyDescent="0.25">
      <c r="A70" t="s">
        <v>95</v>
      </c>
      <c r="B70" s="14">
        <f>B69/'partidos regular'!$B$1</f>
        <v>130.83314285714286</v>
      </c>
    </row>
    <row r="71" spans="1:2" x14ac:dyDescent="0.25">
      <c r="A71" t="s">
        <v>97</v>
      </c>
      <c r="B71">
        <v>1499.98</v>
      </c>
    </row>
    <row r="72" spans="1:2" x14ac:dyDescent="0.25">
      <c r="A72" t="s">
        <v>98</v>
      </c>
      <c r="B72">
        <v>1784.3</v>
      </c>
    </row>
    <row r="73" spans="1:2" x14ac:dyDescent="0.25">
      <c r="A73" t="s">
        <v>99</v>
      </c>
      <c r="B73">
        <v>1937.3</v>
      </c>
    </row>
    <row r="74" spans="1:2" x14ac:dyDescent="0.25">
      <c r="A74" t="s">
        <v>100</v>
      </c>
      <c r="B74">
        <v>2087.1</v>
      </c>
    </row>
    <row r="75" spans="1:2" x14ac:dyDescent="0.25">
      <c r="A75" t="s">
        <v>167</v>
      </c>
      <c r="B75">
        <v>2164.12</v>
      </c>
    </row>
    <row r="76" spans="1:2" x14ac:dyDescent="0.25">
      <c r="A76" t="s">
        <v>170</v>
      </c>
      <c r="B76">
        <v>2024</v>
      </c>
    </row>
    <row r="77" spans="1:2" x14ac:dyDescent="0.25">
      <c r="A77" t="s">
        <v>177</v>
      </c>
      <c r="B77">
        <v>1969.08</v>
      </c>
    </row>
    <row r="78" spans="1:2" x14ac:dyDescent="0.25">
      <c r="A78" t="s">
        <v>180</v>
      </c>
      <c r="B78">
        <v>271.60000000000002</v>
      </c>
    </row>
    <row r="79" spans="1:2" x14ac:dyDescent="0.25">
      <c r="A79" t="s">
        <v>106</v>
      </c>
    </row>
    <row r="80" spans="1:2" x14ac:dyDescent="0.25">
      <c r="A80" t="s">
        <v>92</v>
      </c>
      <c r="B80">
        <f>COUNTIF('partidos regular'!A:A,"N*")</f>
        <v>49</v>
      </c>
    </row>
    <row r="81" spans="1:2" x14ac:dyDescent="0.25">
      <c r="A81" t="s">
        <v>93</v>
      </c>
      <c r="B81" s="15">
        <f>(B80/'partidos regular'!$B$1)*100</f>
        <v>46.666666666666664</v>
      </c>
    </row>
    <row r="82" spans="1:2" x14ac:dyDescent="0.25">
      <c r="A82" t="s">
        <v>94</v>
      </c>
      <c r="B82">
        <f>SUM(B84:B91)</f>
        <v>13740.18</v>
      </c>
    </row>
    <row r="83" spans="1:2" x14ac:dyDescent="0.25">
      <c r="A83" t="s">
        <v>95</v>
      </c>
      <c r="B83" s="14">
        <f>B82/'partidos regular'!$B$1</f>
        <v>130.85885714285715</v>
      </c>
    </row>
    <row r="84" spans="1:2" x14ac:dyDescent="0.25">
      <c r="A84" t="s">
        <v>97</v>
      </c>
      <c r="B84">
        <v>1623.6</v>
      </c>
    </row>
    <row r="85" spans="1:2" x14ac:dyDescent="0.25">
      <c r="A85" t="s">
        <v>98</v>
      </c>
      <c r="B85">
        <v>1888.78</v>
      </c>
    </row>
    <row r="86" spans="1:2" x14ac:dyDescent="0.25">
      <c r="A86" t="s">
        <v>99</v>
      </c>
      <c r="B86">
        <v>1828.58</v>
      </c>
    </row>
    <row r="87" spans="1:2" x14ac:dyDescent="0.25">
      <c r="A87" t="s">
        <v>100</v>
      </c>
      <c r="B87">
        <v>2079.98</v>
      </c>
    </row>
    <row r="88" spans="1:2" x14ac:dyDescent="0.25">
      <c r="A88" t="s">
        <v>167</v>
      </c>
      <c r="B88">
        <v>2116.6</v>
      </c>
    </row>
    <row r="89" spans="1:2" x14ac:dyDescent="0.25">
      <c r="A89" t="s">
        <v>170</v>
      </c>
      <c r="B89">
        <v>1995.82</v>
      </c>
    </row>
    <row r="90" spans="1:2" x14ac:dyDescent="0.25">
      <c r="A90" t="s">
        <v>177</v>
      </c>
      <c r="B90">
        <v>1962.18</v>
      </c>
    </row>
    <row r="91" spans="1:2" x14ac:dyDescent="0.25">
      <c r="A91" t="s">
        <v>180</v>
      </c>
      <c r="B91">
        <v>244.64</v>
      </c>
    </row>
    <row r="92" spans="1:2" x14ac:dyDescent="0.25">
      <c r="A92" t="s">
        <v>107</v>
      </c>
    </row>
    <row r="93" spans="1:2" x14ac:dyDescent="0.25">
      <c r="A93" t="s">
        <v>92</v>
      </c>
      <c r="B93">
        <f>COUNTIF('partidos regular'!A:A,"K*")</f>
        <v>32</v>
      </c>
    </row>
    <row r="94" spans="1:2" x14ac:dyDescent="0.25">
      <c r="A94" t="s">
        <v>93</v>
      </c>
      <c r="B94" s="15">
        <f>(B93/('partidos regular'!$B$1-43))*100</f>
        <v>51.612903225806448</v>
      </c>
    </row>
    <row r="95" spans="1:2" x14ac:dyDescent="0.25">
      <c r="A95" t="s">
        <v>94</v>
      </c>
      <c r="B95">
        <f>SUM(B97:B104)</f>
        <v>7999.92</v>
      </c>
    </row>
    <row r="96" spans="1:2" x14ac:dyDescent="0.25">
      <c r="A96" t="s">
        <v>95</v>
      </c>
      <c r="B96" s="14">
        <f>B95/('partidos regular'!$B$1-43)</f>
        <v>129.03096774193548</v>
      </c>
    </row>
    <row r="97" spans="1:2" x14ac:dyDescent="0.25">
      <c r="A97" t="s">
        <v>97</v>
      </c>
      <c r="B97">
        <v>0</v>
      </c>
    </row>
    <row r="98" spans="1:2" x14ac:dyDescent="0.25">
      <c r="A98" t="s">
        <v>98</v>
      </c>
      <c r="B98">
        <v>0</v>
      </c>
    </row>
    <row r="99" spans="1:2" x14ac:dyDescent="0.25">
      <c r="A99" t="s">
        <v>99</v>
      </c>
      <c r="B99">
        <v>0</v>
      </c>
    </row>
    <row r="100" spans="1:2" x14ac:dyDescent="0.25">
      <c r="A100" t="s">
        <v>100</v>
      </c>
      <c r="B100">
        <v>2024</v>
      </c>
    </row>
    <row r="101" spans="1:2" x14ac:dyDescent="0.25">
      <c r="A101" t="s">
        <v>167</v>
      </c>
      <c r="B101">
        <v>1915.14</v>
      </c>
    </row>
    <row r="102" spans="1:2" x14ac:dyDescent="0.25">
      <c r="A102" t="s">
        <v>170</v>
      </c>
      <c r="B102">
        <v>1993.7</v>
      </c>
    </row>
    <row r="103" spans="1:2" x14ac:dyDescent="0.25">
      <c r="A103" t="s">
        <v>177</v>
      </c>
      <c r="B103">
        <v>1752.22</v>
      </c>
    </row>
    <row r="104" spans="1:2" x14ac:dyDescent="0.25">
      <c r="A104" t="s">
        <v>180</v>
      </c>
      <c r="B104">
        <v>314.86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8"/>
  <sheetViews>
    <sheetView tabSelected="1" topLeftCell="A17" workbookViewId="0">
      <selection activeCell="A31" sqref="A31"/>
    </sheetView>
  </sheetViews>
  <sheetFormatPr baseColWidth="10" defaultRowHeight="15" x14ac:dyDescent="0.25"/>
  <sheetData>
    <row r="1" spans="1:2" x14ac:dyDescent="0.25">
      <c r="A1" t="s">
        <v>91</v>
      </c>
    </row>
    <row r="2" spans="1:2" x14ac:dyDescent="0.25">
      <c r="A2" t="s">
        <v>108</v>
      </c>
      <c r="B2" t="str">
        <f xml:space="preserve"> COUNTIF('partidos regular'!A:A,"EG")+COUNTIF(playoffs!A:A,"EG")+COUNTIF(playoffs!E:E,"EG")&amp;"-"&amp;COUNTIF('partidos regular'!A:A,"GE")+COUNTIF(playoffs!A:A,"GE")+COUNTIF(playoffs!E:E,"GE")&amp;" ("&amp;COUNTIF(playoffs!A:A,"EG")+COUNTIF(playoffs!E:E,"EG")&amp;"-"&amp;COUNTIF(playoffs!A:A,"GE")+COUNTIF(playoffs!E:E,"GE")&amp;")"</f>
        <v>8-6 (0-0)</v>
      </c>
    </row>
    <row r="3" spans="1:2" x14ac:dyDescent="0.25">
      <c r="A3" t="s">
        <v>109</v>
      </c>
      <c r="B3" t="str">
        <f xml:space="preserve"> COUNTIF('partidos regular'!A:A,"ES")+COUNTIF(playoffs!A:A,"ES")+COUNTIF(playoffs!E:E,"ES")&amp;"-"&amp;COUNTIF('partidos regular'!A:A,"SE")+COUNTIF(playoffs!A:A,"SE")+COUNTIF(playoffs!E:E,"SE")&amp;" ("&amp;COUNTIF(playoffs!A:A,"ES")+COUNTIF(playoffs!E:E,"ES")&amp;"-"&amp;COUNTIF(playoffs!A:A,"SE")+COUNTIF(playoffs!E:E,"SE")&amp;")"</f>
        <v>6-9 (0-1)</v>
      </c>
    </row>
    <row r="4" spans="1:2" x14ac:dyDescent="0.25">
      <c r="A4" t="s">
        <v>111</v>
      </c>
      <c r="B4" t="str">
        <f xml:space="preserve"> COUNTIF('partidos regular'!A:A,"EN")+COUNTIF(playoffs!A:A,"EN")+COUNTIF(playoffs!E:E,"EN")&amp;"-"&amp;COUNTIF('partidos regular'!A:A,"NE")+COUNTIF(playoffs!A:A,"NE")+COUNTIF(playoffs!E:E,"GE")&amp;" ("&amp;COUNTIF(playoffs!A:A,"EN")+COUNTIF(playoffs!E:E,"EN")&amp;"-"&amp;COUNTIF(playoffs!A:A,"NE")+COUNTIF(playoffs!E:E,"NE")&amp;")"</f>
        <v>9-6 (0-0)</v>
      </c>
    </row>
    <row r="5" spans="1:2" x14ac:dyDescent="0.25">
      <c r="A5" t="s">
        <v>110</v>
      </c>
      <c r="B5" t="str">
        <f xml:space="preserve"> COUNTIF('partidos regular'!A:A,"EL")+COUNTIF(playoffs!A:A,"EL")+COUNTIF(playoffs!E:E,"EL")&amp;"-"&amp;COUNTIF('partidos regular'!A:A,"LE")+COUNTIF(playoffs!A:A,"LE")+COUNTIF(playoffs!E:E,"LE")&amp;" ("&amp;COUNTIF(playoffs!A:A,"EL")+COUNTIF(playoffs!E:E,"EL")&amp;"-"&amp;COUNTIF(playoffs!A:A,"LE")+COUNTIF(playoffs!E:E,"LE")&amp;")"</f>
        <v>8-6 (0-0)</v>
      </c>
    </row>
    <row r="6" spans="1:2" x14ac:dyDescent="0.25">
      <c r="A6" t="s">
        <v>112</v>
      </c>
      <c r="B6" t="str">
        <f xml:space="preserve"> COUNTIF('partidos regular'!A:A,"EC")+COUNTIF(playoffs!A:A,"EC")+COUNTIF(playoffs!E:E,"EC")&amp;"-"&amp;COUNTIF('partidos regular'!A:A,"CE")+COUNTIF(playoffs!A:A,"CE")+COUNTIF(playoffs!E:E,"CE")&amp;" ("&amp;COUNTIF(playoffs!A:A,"EC")+COUNTIF(playoffs!E:E,"EC")&amp;"-"&amp;COUNTIF(playoffs!A:A,"CE")+COUNTIF(playoffs!E:E,"CE")&amp;")"</f>
        <v>5-8 (0-0)</v>
      </c>
    </row>
    <row r="7" spans="1:2" x14ac:dyDescent="0.25">
      <c r="A7" t="s">
        <v>113</v>
      </c>
      <c r="B7" t="str">
        <f xml:space="preserve"> COUNTIF('partidos regular'!A:A,"EK")+COUNTIF(playoffs!A:A,"EK")+COUNTIF(playoffs!E:E,"EK")&amp;"-"&amp;COUNTIF('partidos regular'!A:A,"KE")+COUNTIF(playoffs!A:A,"KE")+COUNTIF(playoffs!E:E,"KE")&amp;" ("&amp;COUNTIF(playoffs!A:A,"EK")+COUNTIF(playoffs!E:E,"EK")&amp;"-"&amp;COUNTIF(playoffs!A:A,"KE")+COUNTIF(playoffs!E:E,"KE")&amp;")"</f>
        <v>5-8 (1-0)</v>
      </c>
    </row>
    <row r="8" spans="1:2" x14ac:dyDescent="0.25">
      <c r="A8" t="s">
        <v>114</v>
      </c>
      <c r="B8" t="str">
        <f xml:space="preserve"> COUNTIF('partidos regular'!A:A,"EJ")+COUNTIF(playoffs!A:A,"EJ")+COUNTIF(playoffs!E:E,"EJ")&amp;"-"&amp;COUNTIF('partidos regular'!A:A,"JE")+COUNTIF(playoffs!A:A,"JE")+COUNTIF(playoffs!E:E,"JE")&amp;" ("&amp;COUNTIF(playoffs!A:A,"EJ")+COUNTIF(playoffs!E:E,"EJ")&amp;"-"&amp;COUNTIF(playoffs!A:A,"JE")+COUNTIF(playoffs!E:E,"JE")&amp;")"</f>
        <v>8-8 (1-1)</v>
      </c>
    </row>
    <row r="9" spans="1:2" x14ac:dyDescent="0.25">
      <c r="A9" t="s">
        <v>129</v>
      </c>
    </row>
    <row r="10" spans="1:2" x14ac:dyDescent="0.25">
      <c r="A10" t="s">
        <v>129</v>
      </c>
    </row>
    <row r="11" spans="1:2" x14ac:dyDescent="0.25">
      <c r="A11" t="s">
        <v>104</v>
      </c>
    </row>
    <row r="12" spans="1:2" x14ac:dyDescent="0.25">
      <c r="A12" t="s">
        <v>115</v>
      </c>
      <c r="B12" t="str">
        <f xml:space="preserve"> COUNTIF('partidos regular'!A:A,"GE")+COUNTIF(playoffs!A:A,"GE")+COUNTIF(playoffs!E:E,"GE")&amp;"-"&amp;COUNTIF('partidos regular'!A:A,"EG")+COUNTIF(playoffs!A:A,"EG")+COUNTIF(playoffs!E:E,"EG")&amp;" ("&amp;COUNTIF(playoffs!A:A,"GE")+COUNTIF(playoffs!E:E,"GE")&amp;"-"&amp;COUNTIF(playoffs!A:A,"EG")+COUNTIF(playoffs!E:E,"EG")&amp;")"</f>
        <v>6-8 (0-0)</v>
      </c>
    </row>
    <row r="13" spans="1:2" x14ac:dyDescent="0.25">
      <c r="A13" t="s">
        <v>116</v>
      </c>
      <c r="B13" t="str">
        <f xml:space="preserve"> COUNTIF('partidos regular'!A:A,"GS")+COUNTIF(playoffs!A:A,"GS")+COUNTIF(playoffs!E:E,"GS")&amp;"-"&amp;COUNTIF('partidos regular'!A:A,"SG")+COUNTIF(playoffs!A:A,"SG")+COUNTIF(playoffs!E:E,"SG")&amp;" ("&amp;COUNTIF(playoffs!A:A,"GS")+COUNTIF(playoffs!E:E,"GS")&amp;"-"&amp;COUNTIF(playoffs!A:A,"SG")+COUNTIF(playoffs!E:E,"SG")&amp;")"</f>
        <v>9-7 (1-0)</v>
      </c>
    </row>
    <row r="14" spans="1:2" x14ac:dyDescent="0.25">
      <c r="A14" t="s">
        <v>118</v>
      </c>
      <c r="B14" t="str">
        <f xml:space="preserve"> COUNTIF('partidos regular'!A:A,"GN")+COUNTIF(playoffs!A:A,"GN")+COUNTIF(playoffs!E:E,"GN")&amp;"-"&amp;COUNTIF('partidos regular'!A:A,"NG")+COUNTIF(playoffs!A:A,"NG")+COUNTIF(playoffs!E:E,"NG")&amp;" ("&amp;COUNTIF(playoffs!A:A,"GN")+COUNTIF(playoffs!E:E,"GN")&amp;"-"&amp;COUNTIF(playoffs!A:A,"NG")+COUNTIF(playoffs!E:E,"NG")&amp;")"</f>
        <v>9-11 (1-0)</v>
      </c>
    </row>
    <row r="15" spans="1:2" x14ac:dyDescent="0.25">
      <c r="A15" t="s">
        <v>117</v>
      </c>
      <c r="B15" t="str">
        <f xml:space="preserve"> COUNTIF('partidos regular'!A:A,"GL")+COUNTIF(playoffs!A:A,"GL")+COUNTIF(playoffs!E:E,"GL")&amp;"-"&amp;COUNTIF('partidos regular'!A:A,"LG")+COUNTIF(playoffs!A:A,"LG")+COUNTIF(playoffs!E:E,"LG")&amp;" ("&amp;COUNTIF(playoffs!A:A,"GL")+COUNTIF(playoffs!E:E,"GL")&amp;"-"&amp;COUNTIF(playoffs!A:A,"LG")+COUNTIF(playoffs!E:E,"LG")&amp;")"</f>
        <v>9-6 (0-1)</v>
      </c>
    </row>
    <row r="16" spans="1:2" x14ac:dyDescent="0.25">
      <c r="A16" t="s">
        <v>119</v>
      </c>
      <c r="B16" t="str">
        <f xml:space="preserve"> COUNTIF('partidos regular'!A:A,"GC")+COUNTIF(playoffs!A:A,"GC")+COUNTIF(playoffs!E:E,"GC")&amp;"-"&amp;COUNTIF('partidos regular'!A:A,"CG")+COUNTIF(playoffs!A:A,"CG")+COUNTIF(playoffs!E:E,"CG")&amp;" ("&amp;COUNTIF(playoffs!A:A,"GC")+COUNTIF(playoffs!E:E,"GC")&amp;"-"&amp;COUNTIF(playoffs!A:A,"CG")+COUNTIF(playoffs!E:E,"CG")&amp;")"</f>
        <v>5-7 (0-0)</v>
      </c>
    </row>
    <row r="17" spans="1:2" x14ac:dyDescent="0.25">
      <c r="A17" t="s">
        <v>120</v>
      </c>
      <c r="B17" t="str">
        <f xml:space="preserve"> COUNTIF('partidos regular'!A:A,"GK")+COUNTIF(playoffs!A:A,"GK")+COUNTIF(playoffs!E:E,"GK")&amp;"-"&amp;COUNTIF('partidos regular'!A:A,"KG")+COUNTIF(playoffs!A:A,"KG")+COUNTIF(playoffs!E:E,"KG")&amp;" ("&amp;COUNTIF(playoffs!A:A,"GK")+COUNTIF(playoffs!E:E,"GK")&amp;"-"&amp;COUNTIF(playoffs!A:A,"KG")+COUNTIF(playoffs!E:E,"KG")&amp;")"</f>
        <v>6-2 (0-0)</v>
      </c>
    </row>
    <row r="18" spans="1:2" x14ac:dyDescent="0.25">
      <c r="A18" t="s">
        <v>121</v>
      </c>
      <c r="B18" t="str">
        <f xml:space="preserve"> COUNTIF('partidos regular'!A:A,"GJ")+COUNTIF(playoffs!A:A,"GJ")+COUNTIF(playoffs!E:E,"GJ")&amp;"-"&amp;COUNTIF('partidos regular'!A:A,"JG")+COUNTIF(playoffs!A:A,"JG")+COUNTIF(playoffs!E:E,"JG")&amp;" ("&amp;COUNTIF(playoffs!A:A,"GJ")+COUNTIF(playoffs!E:E,"GJ")&amp;"-"&amp;COUNTIF(playoffs!A:A,"JG")+COUNTIF(playoffs!E:E,"JG")&amp;")"</f>
        <v>5-13 (1-2)</v>
      </c>
    </row>
    <row r="19" spans="1:2" x14ac:dyDescent="0.25">
      <c r="A19" t="s">
        <v>129</v>
      </c>
    </row>
    <row r="20" spans="1:2" x14ac:dyDescent="0.25">
      <c r="A20" t="s">
        <v>129</v>
      </c>
    </row>
    <row r="21" spans="1:2" x14ac:dyDescent="0.25">
      <c r="A21" t="s">
        <v>105</v>
      </c>
    </row>
    <row r="22" spans="1:2" x14ac:dyDescent="0.25">
      <c r="A22" t="s">
        <v>122</v>
      </c>
      <c r="B22" t="str">
        <f xml:space="preserve"> COUNTIF('partidos regular'!A:A,"SE")+COUNTIF(playoffs!A:A,"SE")+COUNTIF(playoffs!E:E,"SE")&amp;"-"&amp;COUNTIF('partidos regular'!A:A,"ES")+COUNTIF(playoffs!A:A,"ES")+COUNTIF(playoffs!E:E,"ES")&amp;" ("&amp;COUNTIF(playoffs!A:A,"SE")+COUNTIF(playoffs!E:E,"SE")&amp;"-"&amp;COUNTIF(playoffs!A:A,"ES")+COUNTIF(playoffs!E:E,"ES")&amp;")"</f>
        <v>9-6 (1-0)</v>
      </c>
    </row>
    <row r="23" spans="1:2" x14ac:dyDescent="0.25">
      <c r="A23" t="s">
        <v>123</v>
      </c>
      <c r="B23" t="str">
        <f xml:space="preserve"> COUNTIF('partidos regular'!A:A,"SG")+COUNTIF(playoffs!A:A,"SG")+COUNTIF(playoffs!E:E,"SG")&amp;"-"&amp;COUNTIF('partidos regular'!A:A,"GS")+COUNTIF(playoffs!A:A,"GS")+COUNTIF(playoffs!E:E,"GS")&amp;" ("&amp;COUNTIF(playoffs!A:A,"SG")+COUNTIF(playoffs!E:E,"SG")&amp;"-"&amp;COUNTIF(playoffs!A:A,"GS")+COUNTIF(playoffs!E:E,"GS")&amp;")"</f>
        <v>7-9 (0-1)</v>
      </c>
    </row>
    <row r="24" spans="1:2" x14ac:dyDescent="0.25">
      <c r="A24" t="s">
        <v>124</v>
      </c>
      <c r="B24" t="str">
        <f xml:space="preserve"> COUNTIF('partidos regular'!A:A,"SN")+COUNTIF(playoffs!A:A,"SN")+COUNTIF(playoffs!E:E,"SN")&amp;"-"&amp;COUNTIF('partidos regular'!A:A,"NS")+COUNTIF(playoffs!A:A,"NS")+COUNTIF(playoffs!E:E,"NS")&amp;" ("&amp;COUNTIF(playoffs!A:A,"SN")+COUNTIF(playoffs!E:E,"SN")&amp;"-"&amp;COUNTIF(playoffs!A:A,"NS")+COUNTIF(playoffs!E:E,"NS")&amp;")"</f>
        <v>6-8 (0-0)</v>
      </c>
    </row>
    <row r="25" spans="1:2" x14ac:dyDescent="0.25">
      <c r="A25" t="s">
        <v>125</v>
      </c>
      <c r="B25" t="str">
        <f xml:space="preserve"> COUNTIF('partidos regular'!A:A,"SL")+COUNTIF(playoffs!A:A,"SL")+COUNTIF(playoffs!E:E,"SL")&amp;"-"&amp;COUNTIF('partidos regular'!A:A,"LS")+COUNTIF(playoffs!A:A,"LS")+COUNTIF(playoffs!E:E,"LS")&amp;" ("&amp;COUNTIF(playoffs!A:A,"SL")+COUNTIF(playoffs!E:E,"SL")&amp;"-"&amp;COUNTIF(playoffs!A:A,"LS")+COUNTIF(playoffs!E:E,"LS")&amp;")"</f>
        <v>9-9 (1-1)</v>
      </c>
    </row>
    <row r="26" spans="1:2" x14ac:dyDescent="0.25">
      <c r="A26" t="s">
        <v>126</v>
      </c>
      <c r="B26" t="str">
        <f xml:space="preserve"> COUNTIF('partidos regular'!A:A,"SC")+COUNTIF(playoffs!A:A,"SC")+COUNTIF(playoffs!E:E,"SC")&amp;"-"&amp;COUNTIF('partidos regular'!A:A,"CS")+COUNTIF(playoffs!A:A,"CS")+COUNTIF(playoffs!E:E,"CS")&amp;" ("&amp;COUNTIF(playoffs!A:A,"SC")+COUNTIF(playoffs!E:E,"SC")&amp;"-"&amp;COUNTIF(playoffs!A:A,"CS")+COUNTIF(playoffs!E:E,"CS")&amp;")"</f>
        <v>6-6 (0-0)</v>
      </c>
    </row>
    <row r="27" spans="1:2" x14ac:dyDescent="0.25">
      <c r="A27" t="s">
        <v>127</v>
      </c>
      <c r="B27" t="str">
        <f xml:space="preserve"> COUNTIF('partidos regular'!A:A,"SK")+COUNTIF(playoffs!A:A,"SK")+COUNTIF(playoffs!E:E,"SK")&amp;"-"&amp;COUNTIF('partidos regular'!A:A,"KS")+COUNTIF(playoffs!A:A,"KS")+COUNTIF(playoffs!E:E,"KS")&amp;" ("&amp;COUNTIF(playoffs!A:A,"SK")+COUNTIF(playoffs!E:E,"SK")&amp;"-"&amp;COUNTIF(playoffs!A:A,"KS")+COUNTIF(playoffs!E:E,"KS")&amp;")"</f>
        <v>5-3 (0-0)</v>
      </c>
    </row>
    <row r="28" spans="1:2" x14ac:dyDescent="0.25">
      <c r="A28" t="s">
        <v>128</v>
      </c>
      <c r="B28" t="str">
        <f xml:space="preserve"> COUNTIF('partidos regular'!A:A,"SJ")+COUNTIF(playoffs!A:A,"SJ")+COUNTIF(playoffs!E:E,"SJ")&amp;"-"&amp;COUNTIF('partidos regular'!A:A,"JS")+COUNTIF(playoffs!A:A,"JS")+COUNTIF(playoffs!E:E,"JS")&amp;" ("&amp;COUNTIF(playoffs!A:A,"SJ")+COUNTIF(playoffs!E:E,"SJ")&amp;"-"&amp;COUNTIF(playoffs!A:A,"JS")+COUNTIF(playoffs!E:E,"JS")&amp;")"</f>
        <v>8-11 (0-1)</v>
      </c>
    </row>
    <row r="29" spans="1:2" x14ac:dyDescent="0.25">
      <c r="A29" t="s">
        <v>129</v>
      </c>
    </row>
    <row r="30" spans="1:2" x14ac:dyDescent="0.25">
      <c r="A30" t="s">
        <v>129</v>
      </c>
    </row>
    <row r="31" spans="1:2" x14ac:dyDescent="0.25">
      <c r="A31" t="s">
        <v>181</v>
      </c>
    </row>
    <row r="32" spans="1:2" x14ac:dyDescent="0.25">
      <c r="A32" t="s">
        <v>130</v>
      </c>
      <c r="B32" t="str">
        <f xml:space="preserve"> COUNTIF('partidos regular'!A:A,"NE")+COUNTIF(playoffs!A:A,"NE")+COUNTIF(playoffs!E:E,"NE")&amp;"-"&amp;COUNTIF('partidos regular'!A:A,"EN")+COUNTIF(playoffs!A:A,"EN")+COUNTIF(playoffs!E:E,"EN")&amp;" ("&amp;COUNTIF(playoffs!A:A,"NE")+COUNTIF(playoffs!E:E,"NE")&amp;"-"&amp;COUNTIF(playoffs!A:A,"EN")+COUNTIF(playoffs!E:E,"EN")&amp;")"</f>
        <v>6-9 (0-0)</v>
      </c>
    </row>
    <row r="33" spans="1:2" x14ac:dyDescent="0.25">
      <c r="A33" t="s">
        <v>131</v>
      </c>
      <c r="B33" t="str">
        <f xml:space="preserve"> COUNTIF('partidos regular'!A:A,"NG")+COUNTIF(playoffs!A:A,"NG")+COUNTIF(playoffs!E:E,"NG")&amp;"-"&amp;COUNTIF('partidos regular'!A:A,"GN")+COUNTIF(playoffs!A:A,"GN")+COUNTIF(playoffs!E:E,"GN")&amp;" ("&amp;COUNTIF(playoffs!A:A,"NG")+COUNTIF(playoffs!E:E,"NG")&amp;"-"&amp;COUNTIF(playoffs!A:A,"GN")+COUNTIF(playoffs!E:E,"GN")&amp;")"</f>
        <v>11-9 (0-1)</v>
      </c>
    </row>
    <row r="34" spans="1:2" x14ac:dyDescent="0.25">
      <c r="A34" t="s">
        <v>132</v>
      </c>
      <c r="B34" t="str">
        <f xml:space="preserve"> COUNTIF('partidos regular'!A:A,"NS")+COUNTIF(playoffs!A:A,"NS")+COUNTIF(playoffs!E:E,"NS")&amp;"-"&amp;COUNTIF('partidos regular'!A:A,"SN")+COUNTIF(playoffs!A:A,"SN")+COUNTIF(playoffs!E:E,"SN")&amp;" ("&amp;COUNTIF(playoffs!A:A,"NS")+COUNTIF(playoffs!E:E,"NS")&amp;"-"&amp;COUNTIF(playoffs!A:A,"SN")+COUNTIF(playoffs!E:E,"SN")&amp;")"</f>
        <v>8-6 (0-0)</v>
      </c>
    </row>
    <row r="35" spans="1:2" x14ac:dyDescent="0.25">
      <c r="A35" t="s">
        <v>133</v>
      </c>
      <c r="B35" t="str">
        <f xml:space="preserve"> COUNTIF('partidos regular'!A:A,"NL")+COUNTIF(playoffs!A:A,"NL")+COUNTIF(playoffs!E:E,"NL")&amp;"-"&amp;COUNTIF('partidos regular'!A:A,"LN")+COUNTIF(playoffs!A:A,"LN")+COUNTIF(playoffs!E:E,"LN")&amp;" ("&amp;COUNTIF(playoffs!A:A,"NL")+COUNTIF(playoffs!E:E,"NL")&amp;"-"&amp;COUNTIF(playoffs!A:A,"LN")+COUNTIF(playoffs!E:E,"LN")&amp;")"</f>
        <v>3-10 (0-0)</v>
      </c>
    </row>
    <row r="36" spans="1:2" x14ac:dyDescent="0.25">
      <c r="A36" t="s">
        <v>134</v>
      </c>
      <c r="B36" t="str">
        <f xml:space="preserve"> COUNTIF('partidos regular'!A:A,"NC")+COUNTIF(playoffs!A:A,"NC")+COUNTIF(playoffs!E:E,"NC")&amp;"-"&amp;COUNTIF('partidos regular'!A:A,"CN")+COUNTIF(playoffs!A:A,"CN")+COUNTIF(playoffs!E:E,"CN")&amp;" ("&amp;COUNTIF(playoffs!A:A,"NC")+COUNTIF(playoffs!E:E,"NC")&amp;"-"&amp;COUNTIF(playoffs!A:A,"CN")+COUNTIF(playoffs!E:E,"CN")&amp;")"</f>
        <v>8-6 (1-0)</v>
      </c>
    </row>
    <row r="37" spans="1:2" x14ac:dyDescent="0.25">
      <c r="A37" t="s">
        <v>135</v>
      </c>
      <c r="B37" t="str">
        <f xml:space="preserve"> COUNTIF('partidos regular'!A:A,"NK")+COUNTIF(playoffs!A:A,"NK")+COUNTIF(playoffs!E:E,"NK")&amp;"-"&amp;COUNTIF('partidos regular'!A:A,"KN")+COUNTIF(playoffs!A:A,"KN")+COUNTIF(playoffs!E:E,"KN")&amp;" ("&amp;COUNTIF(playoffs!A:A,"NK")+COUNTIF(playoffs!E:E,"NK")&amp;"-"&amp;COUNTIF(playoffs!A:A,"KN")+COUNTIF(playoffs!E:E,"KN")&amp;")"</f>
        <v>3-6 (0-1)</v>
      </c>
    </row>
    <row r="38" spans="1:2" x14ac:dyDescent="0.25">
      <c r="A38" t="s">
        <v>136</v>
      </c>
      <c r="B38" t="str">
        <f xml:space="preserve"> COUNTIF('partidos regular'!A:A,"NJ")+COUNTIF(playoffs!A:A,"NJ")+COUNTIF(playoffs!E:E,"NJ")&amp;"-"&amp;COUNTIF('partidos regular'!A:A,"JN")+COUNTIF(playoffs!A:A,"JN")+COUNTIF(playoffs!E:E,"JN")&amp;" ("&amp;COUNTIF(playoffs!A:A,"NJ")+COUNTIF(playoffs!E:E,"NJ")&amp;"-"&amp;COUNTIF(playoffs!A:A,"JN")+COUNTIF(playoffs!E:E,"JN")&amp;")"</f>
        <v>7-8 (0-1)</v>
      </c>
    </row>
    <row r="39" spans="1:2" x14ac:dyDescent="0.25">
      <c r="A39" t="s">
        <v>129</v>
      </c>
    </row>
    <row r="40" spans="1:2" x14ac:dyDescent="0.25">
      <c r="A40" t="s">
        <v>129</v>
      </c>
    </row>
    <row r="41" spans="1:2" x14ac:dyDescent="0.25">
      <c r="A41" t="s">
        <v>102</v>
      </c>
    </row>
    <row r="42" spans="1:2" x14ac:dyDescent="0.25">
      <c r="A42" t="s">
        <v>137</v>
      </c>
      <c r="B42" t="str">
        <f xml:space="preserve"> COUNTIF('partidos regular'!A:A,"LE")+COUNTIF(playoffs!A:A,"LE")+COUNTIF(playoffs!E:E,"LE")&amp;"-"&amp;COUNTIF('partidos regular'!A:A,"EL")+COUNTIF(playoffs!A:A,"EL")+COUNTIF(playoffs!E:E,"EL")&amp;" ("&amp;COUNTIF(playoffs!A:A,"LE")+COUNTIF(playoffs!E:E,"LE")&amp;"-"&amp;COUNTIF(playoffs!A:A,"EL")+COUNTIF(playoffs!E:E,"EL")&amp;")"</f>
        <v>6-8 (0-0)</v>
      </c>
    </row>
    <row r="43" spans="1:2" x14ac:dyDescent="0.25">
      <c r="A43" t="s">
        <v>138</v>
      </c>
      <c r="B43" t="str">
        <f xml:space="preserve"> COUNTIF('partidos regular'!A:A,"LG")+COUNTIF(playoffs!A:A,"LG")+COUNTIF(playoffs!E:E,"LG")&amp;"-"&amp;COUNTIF('partidos regular'!A:A,"GL")+COUNTIF(playoffs!A:A,"GL")+COUNTIF(playoffs!E:E,"GL")&amp;" ("&amp;COUNTIF(playoffs!A:A,"LG")+COUNTIF(playoffs!E:E,"LG")&amp;"-"&amp;COUNTIF(playoffs!A:A,"GL")+COUNTIF(playoffs!E:E,"GL")&amp;")"</f>
        <v>6-9 (1-0)</v>
      </c>
    </row>
    <row r="44" spans="1:2" x14ac:dyDescent="0.25">
      <c r="A44" t="s">
        <v>139</v>
      </c>
      <c r="B44" t="str">
        <f xml:space="preserve"> COUNTIF('partidos regular'!A:A,"LS")+COUNTIF(playoffs!A:A,"LS")+COUNTIF(playoffs!E:E,"LS")&amp;"-"&amp;COUNTIF('partidos regular'!A:A,"SL")+COUNTIF(playoffs!A:A,"SL")+COUNTIF(playoffs!E:E,"SL")&amp;" ("&amp;COUNTIF(playoffs!A:A,"LS")+COUNTIF(playoffs!E:E,"LS")&amp;"-"&amp;COUNTIF(playoffs!A:A,"SL")+COUNTIF(playoffs!E:E,"SL")&amp;")"</f>
        <v>9-9 (1-1)</v>
      </c>
    </row>
    <row r="45" spans="1:2" x14ac:dyDescent="0.25">
      <c r="A45" t="s">
        <v>140</v>
      </c>
      <c r="B45" t="str">
        <f xml:space="preserve"> COUNTIF('partidos regular'!A:A,"LN")+COUNTIF(playoffs!A:A,"LN")+COUNTIF(playoffs!E:E,"LN")&amp;"-"&amp;COUNTIF('partidos regular'!A:A,"NL")+COUNTIF(playoffs!A:A,"NL")+COUNTIF(playoffs!E:E,"NL")&amp;" ("&amp;COUNTIF(playoffs!A:A,"LN")+COUNTIF(playoffs!E:E,"LN")&amp;"-"&amp;COUNTIF(playoffs!A:A,"NL")+COUNTIF(playoffs!E:E,"NL")&amp;")"</f>
        <v>10-3 (0-0)</v>
      </c>
    </row>
    <row r="46" spans="1:2" x14ac:dyDescent="0.25">
      <c r="A46" t="s">
        <v>141</v>
      </c>
      <c r="B46" t="str">
        <f xml:space="preserve"> COUNTIF('partidos regular'!A:A,"LC")+COUNTIF(playoffs!A:A,"LC")+COUNTIF(playoffs!E:E,"LC")&amp;"-"&amp;COUNTIF('partidos regular'!A:A,"CL")+COUNTIF(playoffs!A:A,"CL")+COUNTIF(playoffs!E:E,"CL")&amp;" ("&amp;COUNTIF(playoffs!A:A,"LC")+COUNTIF(playoffs!E:E,"LC")&amp;"-"&amp;COUNTIF(playoffs!A:A,"CL")+COUNTIF(playoffs!E:E,"CL")&amp;")"</f>
        <v>8-10 (0-0)</v>
      </c>
    </row>
    <row r="47" spans="1:2" x14ac:dyDescent="0.25">
      <c r="A47" t="s">
        <v>142</v>
      </c>
      <c r="B47" t="str">
        <f xml:space="preserve"> COUNTIF('partidos regular'!A:A,"LK")+COUNTIF(playoffs!A:A,"LK")+COUNTIF(playoffs!E:E,"LK")&amp;"-"&amp;COUNTIF('partidos regular'!A:A,"KL")+COUNTIF(playoffs!A:A,"KL")+COUNTIF(playoffs!E:E,"KL")&amp;" ("&amp;COUNTIF(playoffs!A:A,"LK")+COUNTIF(playoffs!E:E,"LK")&amp;"-"&amp;COUNTIF(playoffs!A:A,"KL")+COUNTIF(playoffs!E:E,"KL")&amp;")"</f>
        <v>3-5 (0-0)</v>
      </c>
    </row>
    <row r="48" spans="1:2" x14ac:dyDescent="0.25">
      <c r="A48" t="s">
        <v>143</v>
      </c>
      <c r="B48" t="str">
        <f xml:space="preserve"> COUNTIF('partidos regular'!A:A,"LJ")+COUNTIF(playoffs!A:A,"LJ")+COUNTIF(playoffs!E:E,"LJ")&amp;"-"&amp;COUNTIF('partidos regular'!A:A,"JL")+COUNTIF(playoffs!A:A,"JL")+COUNTIF(playoffs!E:E,"JL")&amp;" ("&amp;COUNTIF(playoffs!A:A,"LJ")+COUNTIF(playoffs!E:E,"LJ")&amp;"-"&amp;COUNTIF(playoffs!A:A,"JL")+COUNTIF(playoffs!E:E,"JL")&amp;")"</f>
        <v>6-11 (2-1)</v>
      </c>
    </row>
    <row r="49" spans="1:2" x14ac:dyDescent="0.25">
      <c r="A49" t="s">
        <v>129</v>
      </c>
    </row>
    <row r="50" spans="1:2" x14ac:dyDescent="0.25">
      <c r="A50" t="s">
        <v>129</v>
      </c>
    </row>
    <row r="51" spans="1:2" x14ac:dyDescent="0.25">
      <c r="A51" t="s">
        <v>103</v>
      </c>
    </row>
    <row r="52" spans="1:2" x14ac:dyDescent="0.25">
      <c r="A52" t="s">
        <v>144</v>
      </c>
      <c r="B52" t="str">
        <f xml:space="preserve"> COUNTIF('partidos regular'!A:A,"CE")+COUNTIF(playoffs!A:A,"CE")+COUNTIF(playoffs!E:E,"CE")&amp;"-"&amp;COUNTIF('partidos regular'!A:A,"EC")+COUNTIF(playoffs!A:A,"EC")+COUNTIF(playoffs!E:E,"EC")&amp;" ("&amp;COUNTIF(playoffs!A:A,"CE")+COUNTIF(playoffs!E:E,"CE")&amp;"-"&amp;COUNTIF(playoffs!A:A,"EC")+COUNTIF(playoffs!E:E,"EC")&amp;")"</f>
        <v>8-5 (0-0)</v>
      </c>
    </row>
    <row r="53" spans="1:2" x14ac:dyDescent="0.25">
      <c r="A53" t="s">
        <v>145</v>
      </c>
      <c r="B53" t="str">
        <f xml:space="preserve"> COUNTIF('partidos regular'!A:A,"CG")+COUNTIF(playoffs!A:A,"CG")+COUNTIF(playoffs!E:E,"CG")&amp;"-"&amp;COUNTIF('partidos regular'!A:A,"GC")+COUNTIF(playoffs!A:A,"GC")+COUNTIF(playoffs!E:E,"GC")&amp;" ("&amp;COUNTIF(playoffs!A:A,"CG")+COUNTIF(playoffs!E:E,"CG")&amp;"-"&amp;COUNTIF(playoffs!A:A,"GC")+COUNTIF(playoffs!E:E,"GC")&amp;")"</f>
        <v>7-5 (0-0)</v>
      </c>
    </row>
    <row r="54" spans="1:2" x14ac:dyDescent="0.25">
      <c r="A54" t="s">
        <v>146</v>
      </c>
      <c r="B54" t="str">
        <f xml:space="preserve"> COUNTIF('partidos regular'!A:A,"CS")+COUNTIF(playoffs!A:A,"CS")+COUNTIF(playoffs!E:E,"CS")&amp;"-"&amp;COUNTIF('partidos regular'!A:A,"SC")+COUNTIF(playoffs!A:A,"SC")+COUNTIF(playoffs!E:E,"SC")&amp;" ("&amp;COUNTIF(playoffs!A:A,"CS")+COUNTIF(playoffs!E:E,"CS")&amp;"-"&amp;COUNTIF(playoffs!A:A,"SC")+COUNTIF(playoffs!E:E,"SC")&amp;")"</f>
        <v>6-6 (0-0)</v>
      </c>
    </row>
    <row r="55" spans="1:2" x14ac:dyDescent="0.25">
      <c r="A55" t="s">
        <v>147</v>
      </c>
      <c r="B55" t="str">
        <f xml:space="preserve"> COUNTIF('partidos regular'!A:A,"CN")+COUNTIF(playoffs!A:A,"CN")+COUNTIF(playoffs!E:E,"CN")&amp;"-"&amp;COUNTIF('partidos regular'!A:A,"NC")+COUNTIF(playoffs!A:A,"NC")+COUNTIF(playoffs!E:E,"NC")&amp;" ("&amp;COUNTIF(playoffs!A:A,"CN")+COUNTIF(playoffs!E:E,"CN")&amp;"-"&amp;COUNTIF(playoffs!A:A,"NC")+COUNTIF(playoffs!E:E,"NC")&amp;")"</f>
        <v>6-8 (0-1)</v>
      </c>
    </row>
    <row r="56" spans="1:2" x14ac:dyDescent="0.25">
      <c r="A56" t="s">
        <v>148</v>
      </c>
      <c r="B56" t="str">
        <f xml:space="preserve"> COUNTIF('partidos regular'!A:A,"CL")+COUNTIF(playoffs!A:A,"CL")+COUNTIF(playoffs!E:E,"CL")&amp;"-"&amp;COUNTIF('partidos regular'!A:A,"LC")+COUNTIF(playoffs!A:A,"LC")+COUNTIF(playoffs!E:E,"LC")&amp;" ("&amp;COUNTIF(playoffs!A:A,"CL")+COUNTIF(playoffs!E:E,"CL")&amp;"-"&amp;COUNTIF(playoffs!A:A,"LC")+COUNTIF(playoffs!E:E,"LC")&amp;")"</f>
        <v>10-8 (0-0)</v>
      </c>
    </row>
    <row r="57" spans="1:2" x14ac:dyDescent="0.25">
      <c r="A57" t="s">
        <v>149</v>
      </c>
      <c r="B57" t="str">
        <f xml:space="preserve"> COUNTIF('partidos regular'!A:A,"CK")+COUNTIF(playoffs!A:A,"CK")+COUNTIF(playoffs!E:E,"CK")&amp;"-"&amp;COUNTIF('partidos regular'!A:A,"KC")+COUNTIF(playoffs!A:A,"KC")+COUNTIF(playoffs!E:E,"KC")&amp;" ("&amp;COUNTIF(playoffs!A:A,"CK")+COUNTIF(playoffs!E:E,"CK")&amp;"-"&amp;COUNTIF(playoffs!A:A,"KC")+COUNTIF(playoffs!E:E,"KC")&amp;")"</f>
        <v>2-6 (0-0)</v>
      </c>
    </row>
    <row r="58" spans="1:2" x14ac:dyDescent="0.25">
      <c r="A58" t="s">
        <v>150</v>
      </c>
      <c r="B58" t="str">
        <f xml:space="preserve"> COUNTIF('partidos regular'!A:A,"CJ")+COUNTIF(playoffs!A:A,"CJ")+COUNTIF(playoffs!E:E,"CJ")&amp;"-"&amp;COUNTIF('partidos regular'!A:A,"JC")+COUNTIF(playoffs!A:A,"JC")+COUNTIF(playoffs!E:E,"JC")&amp;" ("&amp;COUNTIF(playoffs!A:A,"CJ")+COUNTIF(playoffs!E:E,"CJ")&amp;"-"&amp;COUNTIF(playoffs!A:A,"JC")+COUNTIF(playoffs!E:E,"JC")&amp;")"</f>
        <v>4-8 (0-0)</v>
      </c>
    </row>
    <row r="59" spans="1:2" x14ac:dyDescent="0.25">
      <c r="A59" t="s">
        <v>129</v>
      </c>
    </row>
    <row r="60" spans="1:2" x14ac:dyDescent="0.25">
      <c r="A60" t="s">
        <v>129</v>
      </c>
    </row>
    <row r="61" spans="1:2" x14ac:dyDescent="0.25">
      <c r="A61" t="s">
        <v>107</v>
      </c>
    </row>
    <row r="62" spans="1:2" x14ac:dyDescent="0.25">
      <c r="A62" t="s">
        <v>151</v>
      </c>
      <c r="B62" t="str">
        <f xml:space="preserve"> COUNTIF('partidos regular'!A:A,"KE")+COUNTIF(playoffs!A:A,"KE")+COUNTIF(playoffs!E:E,"KE")&amp;"-"&amp;COUNTIF('partidos regular'!A:A,"EK")+COUNTIF(playoffs!A:A,"EK")+COUNTIF(playoffs!E:E,"EK")&amp;" ("&amp;COUNTIF(playoffs!A:A,"KE")+COUNTIF(playoffs!E:E,"KE")&amp;"-"&amp;COUNTIF(playoffs!A:A,"EK")+COUNTIF(playoffs!E:E,"EK")&amp;")"</f>
        <v>8-5 (0-1)</v>
      </c>
    </row>
    <row r="63" spans="1:2" x14ac:dyDescent="0.25">
      <c r="A63" t="s">
        <v>152</v>
      </c>
      <c r="B63" t="str">
        <f xml:space="preserve"> COUNTIF('partidos regular'!A:A,"KG")+COUNTIF(playoffs!A:A,"KG")+COUNTIF(playoffs!E:E,"KG")&amp;"-"&amp;COUNTIF('partidos regular'!A:A,"GK")+COUNTIF(playoffs!A:A,"GK")+COUNTIF(playoffs!E:E,"GK")&amp;" ("&amp;COUNTIF(playoffs!A:A,"KG")+COUNTIF(playoffs!E:E,"KG")&amp;"-"&amp;COUNTIF(playoffs!A:A,"GK")+COUNTIF(playoffs!E:E,"GK")&amp;")"</f>
        <v>2-6 (0-0)</v>
      </c>
    </row>
    <row r="64" spans="1:2" x14ac:dyDescent="0.25">
      <c r="A64" t="s">
        <v>156</v>
      </c>
      <c r="B64" t="str">
        <f xml:space="preserve"> COUNTIF('partidos regular'!A:A,"KS")+COUNTIF(playoffs!A:A,"KS")+COUNTIF(playoffs!E:E,"KS")&amp;"-"&amp;COUNTIF('partidos regular'!A:A,"SK")+COUNTIF(playoffs!A:A,"SK")+COUNTIF(playoffs!E:E,"SK")&amp;" ("&amp;COUNTIF(playoffs!A:A,"KS")+COUNTIF(playoffs!E:E,"KS")&amp;"-"&amp;COUNTIF(playoffs!A:A,"SK")+COUNTIF(playoffs!E:E,"SK")&amp;")"</f>
        <v>3-5 (0-0)</v>
      </c>
    </row>
    <row r="65" spans="1:2" x14ac:dyDescent="0.25">
      <c r="A65" t="s">
        <v>153</v>
      </c>
      <c r="B65" t="str">
        <f xml:space="preserve"> COUNTIF('partidos regular'!A:A,"KN")+COUNTIF(playoffs!A:A,"KN")+COUNTIF(playoffs!E:E,"KN")&amp;"-"&amp;COUNTIF('partidos regular'!A:A,"NK")+COUNTIF(playoffs!A:A,"NK")+COUNTIF(playoffs!E:E,"NK")&amp;" ("&amp;COUNTIF(playoffs!A:A,"KN")+COUNTIF(playoffs!E:E,"KN")&amp;"-"&amp;COUNTIF(playoffs!A:A,"NK")+COUNTIF(playoffs!E:E,"NK")&amp;")"</f>
        <v>6-3 (1-0)</v>
      </c>
    </row>
    <row r="66" spans="1:2" x14ac:dyDescent="0.25">
      <c r="A66" t="s">
        <v>154</v>
      </c>
      <c r="B66" t="str">
        <f xml:space="preserve"> COUNTIF('partidos regular'!A:A,"KL")+COUNTIF(playoffs!A:A,"KL")+COUNTIF(playoffs!E:E,"KL")&amp;"-"&amp;COUNTIF('partidos regular'!A:A,"LK")+COUNTIF(playoffs!A:A,"LK")+COUNTIF(playoffs!E:E,"LK")&amp;" ("&amp;COUNTIF(playoffs!A:A,"KL")+COUNTIF(playoffs!E:E,"KL")&amp;"-"&amp;COUNTIF(playoffs!A:A,"LK")+COUNTIF(playoffs!E:E,"LK")&amp;")"</f>
        <v>5-3 (0-0)</v>
      </c>
    </row>
    <row r="67" spans="1:2" x14ac:dyDescent="0.25">
      <c r="A67" t="s">
        <v>155</v>
      </c>
      <c r="B67" t="str">
        <f xml:space="preserve"> COUNTIF('partidos regular'!A:A,"KC")+COUNTIF(playoffs!A:A,"KC")+COUNTIF(playoffs!E:E,"KC")&amp;"-"&amp;COUNTIF('partidos regular'!A:A,"CK")+COUNTIF(playoffs!A:A,"CK")+COUNTIF(playoffs!E:E,"CK")&amp;" ("&amp;COUNTIF(playoffs!A:A,"KC")+COUNTIF(playoffs!E:E,"KC")&amp;"-"&amp;COUNTIF(playoffs!A:A,"CK")+COUNTIF(playoffs!E:E,"CK")&amp;")"</f>
        <v>6-2 (0-0)</v>
      </c>
    </row>
    <row r="68" spans="1:2" x14ac:dyDescent="0.25">
      <c r="A68" t="s">
        <v>157</v>
      </c>
      <c r="B68" t="str">
        <f xml:space="preserve"> COUNTIF('partidos regular'!A:A,"KJ")+COUNTIF(playoffs!A:A,"KJ")+COUNTIF(playoffs!E:E,"KJ")&amp;"-"&amp;COUNTIF('partidos regular'!A:A,"JK")+COUNTIF(playoffs!A:A,"JK")+COUNTIF(playoffs!E:E,"JK")&amp;" ("&amp;COUNTIF(playoffs!A:A,"KJ")+COUNTIF(playoffs!E:E,"KJ")&amp;"-"&amp;COUNTIF(playoffs!A:A,"JK")+COUNTIF(playoffs!E:E,"JK")&amp;")"</f>
        <v>3-7 (0-0)</v>
      </c>
    </row>
    <row r="69" spans="1:2" x14ac:dyDescent="0.25">
      <c r="A69" t="s">
        <v>129</v>
      </c>
    </row>
    <row r="70" spans="1:2" x14ac:dyDescent="0.25">
      <c r="A70" t="s">
        <v>129</v>
      </c>
    </row>
    <row r="71" spans="1:2" x14ac:dyDescent="0.25">
      <c r="A71" t="s">
        <v>101</v>
      </c>
    </row>
    <row r="72" spans="1:2" x14ac:dyDescent="0.25">
      <c r="A72" t="s">
        <v>158</v>
      </c>
      <c r="B72" t="str">
        <f xml:space="preserve"> COUNTIF('partidos regular'!A:A,"JE")+COUNTIF(playoffs!A:A,"JE")+COUNTIF(playoffs!E:E,"JE")&amp;"-"&amp;COUNTIF('partidos regular'!A:A,"EJ")+COUNTIF(playoffs!A:A,"EJ")+COUNTIF(playoffs!E:E,"EJ")&amp;" ("&amp;COUNTIF(playoffs!A:A,"JE")+COUNTIF(playoffs!E:E,"JE")&amp;"-"&amp;COUNTIF(playoffs!A:A,"EJ")+COUNTIF(playoffs!E:E,"EJ")&amp;")"</f>
        <v>8-8 (1-1)</v>
      </c>
    </row>
    <row r="73" spans="1:2" x14ac:dyDescent="0.25">
      <c r="A73" t="s">
        <v>159</v>
      </c>
      <c r="B73" t="str">
        <f xml:space="preserve"> COUNTIF('partidos regular'!A:A,"JG")+COUNTIF(playoffs!A:A,"JG")+COUNTIF(playoffs!E:E,"JG")&amp;"-"&amp;COUNTIF('partidos regular'!A:A,"GJ")+COUNTIF(playoffs!A:A,"GJ")+COUNTIF(playoffs!E:E,"GJ")&amp;" ("&amp;COUNTIF(playoffs!A:A,"JG")+COUNTIF(playoffs!E:E,"JG")&amp;"-"&amp;COUNTIF(playoffs!A:A,"GJ")+COUNTIF(playoffs!E:E,"GJ")&amp;")"</f>
        <v>13-5 (2-1)</v>
      </c>
    </row>
    <row r="74" spans="1:2" x14ac:dyDescent="0.25">
      <c r="A74" t="s">
        <v>164</v>
      </c>
      <c r="B74" t="str">
        <f xml:space="preserve"> COUNTIF('partidos regular'!A:A,"JS")+COUNTIF(playoffs!A:A,"JS")+COUNTIF(playoffs!E:E,"JS")&amp;"-"&amp;COUNTIF('partidos regular'!A:A,"SJ")+COUNTIF(playoffs!A:A,"SJ")+COUNTIF(playoffs!E:E,"SJ")&amp;" ("&amp;COUNTIF(playoffs!A:A,"JS")+COUNTIF(playoffs!E:E,"JS")&amp;"-"&amp;COUNTIF(playoffs!A:A,"SJ")+COUNTIF(playoffs!E:E,"SJ")&amp;")"</f>
        <v>11-8 (1-0)</v>
      </c>
    </row>
    <row r="75" spans="1:2" x14ac:dyDescent="0.25">
      <c r="A75" t="s">
        <v>160</v>
      </c>
      <c r="B75" t="str">
        <f xml:space="preserve"> COUNTIF('partidos regular'!A:A,"JN")+COUNTIF(playoffs!A:A,"JN")+COUNTIF(playoffs!E:E,"JN")&amp;"-"&amp;COUNTIF('partidos regular'!A:A,"NJ")+COUNTIF(playoffs!A:A,"NJ")+COUNTIF(playoffs!E:E,"NJ")&amp;" ("&amp;COUNTIF(playoffs!A:A,"JN")+COUNTIF(playoffs!E:E,"JN")&amp;"-"&amp;COUNTIF(playoffs!A:A,"NJ")+COUNTIF(playoffs!E:E,"NJ")&amp;")"</f>
        <v>8-7 (1-0)</v>
      </c>
    </row>
    <row r="76" spans="1:2" x14ac:dyDescent="0.25">
      <c r="A76" t="s">
        <v>161</v>
      </c>
      <c r="B76" t="str">
        <f xml:space="preserve"> COUNTIF('partidos regular'!A:A,"JL")+COUNTIF(playoffs!A:A,"JL")+COUNTIF(playoffs!E:E,"JL")&amp;"-"&amp;COUNTIF('partidos regular'!A:A,"LJ")+COUNTIF(playoffs!A:A,"LJ")+COUNTIF(playoffs!E:E,"LJ")&amp;" ("&amp;COUNTIF(playoffs!A:A,"JL")+COUNTIF(playoffs!E:E,"JL")&amp;"-"&amp;COUNTIF(playoffs!A:A,"LJ")+COUNTIF(playoffs!E:E,"LJ")&amp;")"</f>
        <v>11-6 (1-2)</v>
      </c>
    </row>
    <row r="77" spans="1:2" x14ac:dyDescent="0.25">
      <c r="A77" t="s">
        <v>162</v>
      </c>
      <c r="B77" t="str">
        <f xml:space="preserve"> COUNTIF('partidos regular'!A:A,"JC")+COUNTIF(playoffs!A:A,"JC")+COUNTIF(playoffs!E:E,"JC")&amp;"-"&amp;COUNTIF('partidos regular'!A:A,"CJ")+COUNTIF(playoffs!A:A,"CJ")+COUNTIF(playoffs!E:E,"CJ")&amp;" ("&amp;COUNTIF(playoffs!A:A,"JC")+COUNTIF(playoffs!E:E,"JC")&amp;"-"&amp;COUNTIF(playoffs!A:A,"CJ")+COUNTIF(playoffs!E:E,"CJ")&amp;")"</f>
        <v>8-4 (0-0)</v>
      </c>
    </row>
    <row r="78" spans="1:2" x14ac:dyDescent="0.25">
      <c r="A78" t="s">
        <v>163</v>
      </c>
      <c r="B78" t="str">
        <f xml:space="preserve"> COUNTIF('partidos regular'!A:A,"JK")+COUNTIF(playoffs!A:A,"JK")+COUNTIF(playoffs!E:E,"JK")&amp;"-"&amp;COUNTIF('partidos regular'!A:A,"KJ")+COUNTIF(playoffs!A:A,"KJ")+COUNTIF(playoffs!E:E,"KJ")&amp;" ("&amp;COUNTIF(playoffs!A:A,"JK")+COUNTIF(playoffs!E:E,"JK")&amp;"-"&amp;COUNTIF(playoffs!A:A,"KJ")+COUNTIF(playoffs!E:E,"KJ")&amp;")"</f>
        <v>7-3 (0-0)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9"/>
  <sheetViews>
    <sheetView workbookViewId="0">
      <selection activeCell="C12" sqref="C12"/>
    </sheetView>
  </sheetViews>
  <sheetFormatPr baseColWidth="10" defaultRowHeight="15" x14ac:dyDescent="0.25"/>
  <cols>
    <col min="1" max="1" width="11.28515625" bestFit="1" customWidth="1"/>
  </cols>
  <sheetData>
    <row r="2" spans="1:2" x14ac:dyDescent="0.25">
      <c r="A2" t="s">
        <v>107</v>
      </c>
      <c r="B2" s="14">
        <f>(stats!$B$93*10+COUNTIF(playoffs!E:E,"*K*")*10+COUNTIF(playoffs!B:B,"K")*25+COUNTIF(playoffs!C:C,"K")*20+COUNTIF(playoffs!E:E,"K*")*30+(stats!$B$95/250)-COUNTIF(playoffs!D:D,"K")*15)/('partidos regular'!$B$1-43)</f>
        <v>5.7580593548387098</v>
      </c>
    </row>
    <row r="3" spans="1:2" x14ac:dyDescent="0.25">
      <c r="A3" t="s">
        <v>91</v>
      </c>
      <c r="B3" s="14">
        <f>(stats!$B$2*10+COUNTIF(playoffs!E:E,"*E*")*10+COUNTIF(playoffs!B:B,"E")*25+COUNTIF(playoffs!C:C,"E")*20+COUNTIF(playoffs!E:E,"E*")*30+(stats!$B$4/250)-COUNTIF(playoffs!D:D,"E")*15)/('partidos regular'!$B$1)</f>
        <v>6.4109805714285715</v>
      </c>
    </row>
    <row r="4" spans="1:2" x14ac:dyDescent="0.25">
      <c r="A4" t="s">
        <v>101</v>
      </c>
      <c r="B4" s="14">
        <f>(stats!$B$15*10+COUNTIF(playoffs!E:E,"*J*")*10+COUNTIF(playoffs!B:B,"J")*25+COUNTIF(playoffs!C:C,"J")*20+COUNTIF(playoffs!E:E,"J*")*30+(stats!B17/250)-COUNTIF(playoffs!D:D,"J")*15)/('partidos regular'!$B$1)</f>
        <v>8.6875436190476201</v>
      </c>
    </row>
    <row r="5" spans="1:2" x14ac:dyDescent="0.25">
      <c r="A5" t="s">
        <v>102</v>
      </c>
      <c r="B5" s="14">
        <f>(stats!$B$28*10+COUNTIF(playoffs!E:E,"*L*")*10+COUNTIF(playoffs!B:B,"L")*25+COUNTIF(playoffs!C:C,"L")*20+COUNTIF(playoffs!E:E,"L*")*30+(stats!$B$30/250)-COUNTIF(playoffs!D:D,"L")*15)/('partidos regular'!$B$1)</f>
        <v>6.9380083809523807</v>
      </c>
    </row>
    <row r="6" spans="1:2" x14ac:dyDescent="0.25">
      <c r="A6" t="s">
        <v>105</v>
      </c>
      <c r="B6" s="14">
        <f>(stats!$B$67*10+COUNTIF(playoffs!E:E,"*S*")*10+COUNTIF(playoffs!B:B,"S")*25+COUNTIF(playoffs!C:C,"S")*20+COUNTIF(playoffs!E:E,"S*")*30+(stats!B69/250)-COUNTIF(playoffs!D:D,"S")*15)/('partidos regular'!$B$1)</f>
        <v>6.3804754285714287</v>
      </c>
    </row>
    <row r="7" spans="1:2" x14ac:dyDescent="0.25">
      <c r="A7" t="s">
        <v>181</v>
      </c>
      <c r="B7" s="14">
        <f>(stats!$B$80*10+COUNTIF(playoffs!E:E,"*N*")*10+COUNTIF(playoffs!B:B,"N")*25+COUNTIF(playoffs!C:C,"N")*20+COUNTIF(playoffs!E:E,"N*")*30+(stats!B82/250)-COUNTIF(playoffs!D:D,"N")*15)/('partidos regular'!$B$1)</f>
        <v>5.7615306666666672</v>
      </c>
    </row>
    <row r="8" spans="1:2" x14ac:dyDescent="0.25">
      <c r="A8" t="s">
        <v>104</v>
      </c>
      <c r="B8" s="14">
        <f>(stats!$B$54*10+COUNTIF(playoffs!E:E,"*G*")*10+COUNTIF(playoffs!B:B,"G")*25+COUNTIF(playoffs!C:C,"G")*20+COUNTIF(playoffs!E:E,"G*")*30+(stats!B56/250)-COUNTIF(playoffs!D:D,"G")*15)/('partidos regular'!$B$1)</f>
        <v>6.2832518095238097</v>
      </c>
    </row>
    <row r="9" spans="1:2" x14ac:dyDescent="0.25">
      <c r="A9" t="s">
        <v>103</v>
      </c>
      <c r="B9" s="14">
        <f>(stats!$B$41*10+COUNTIF(playoffs!E:E,"*C*")*10+COUNTIF(playoffs!B:B,"C")*25+COUNTIF(playoffs!C:C,"C")*20+COUNTIF(playoffs!E:E,"C*")*30+(stats!B43/250)-COUNTIF(playoffs!D:D,"C")*15)/(('partidos regular'!$B$1)-14)</f>
        <v>5.3979490109890111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partidos regular</vt:lpstr>
      <vt:lpstr>playoffs</vt:lpstr>
      <vt:lpstr>stats</vt:lpstr>
      <vt:lpstr>paternidades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Sebas Latuf</cp:lastModifiedBy>
  <dcterms:created xsi:type="dcterms:W3CDTF">2023-08-05T01:16:57Z</dcterms:created>
  <dcterms:modified xsi:type="dcterms:W3CDTF">2026-09-23T18:39:40Z</dcterms:modified>
</cp:coreProperties>
</file>