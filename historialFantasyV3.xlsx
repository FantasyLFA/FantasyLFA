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 regular" sheetId="1" r:id="rId5"/>
    <sheet state="visible" name="playoffs" sheetId="2" r:id="rId6"/>
    <sheet state="visible" name="stats" sheetId="3" r:id="rId7"/>
    <sheet state="visible" name="Ranking" sheetId="4" r:id="rId8"/>
    <sheet state="visible" name="paternidades" sheetId="5" r:id="rId9"/>
  </sheets>
  <definedNames/>
  <calcPr/>
</workbook>
</file>

<file path=xl/sharedStrings.xml><?xml version="1.0" encoding="utf-8"?>
<sst xmlns="http://schemas.openxmlformats.org/spreadsheetml/2006/main" count="701" uniqueCount="183">
  <si>
    <t>P</t>
  </si>
  <si>
    <t>Naki</t>
  </si>
  <si>
    <t>partidos jugados</t>
  </si>
  <si>
    <t>Emily</t>
  </si>
  <si>
    <t>1-2</t>
  </si>
  <si>
    <t>Temporada</t>
  </si>
  <si>
    <t>Regular</t>
  </si>
  <si>
    <t>AE</t>
  </si>
  <si>
    <t>3-4</t>
  </si>
  <si>
    <t>7-8</t>
  </si>
  <si>
    <t>F</t>
  </si>
  <si>
    <t>Victorias</t>
  </si>
  <si>
    <t>LG</t>
  </si>
  <si>
    <t>2019-1</t>
  </si>
  <si>
    <t>SJ</t>
  </si>
  <si>
    <t>E</t>
  </si>
  <si>
    <t>LP</t>
  </si>
  <si>
    <t>NG</t>
  </si>
  <si>
    <t>G</t>
  </si>
  <si>
    <t>S</t>
  </si>
  <si>
    <t>P= semis de playoffs</t>
  </si>
  <si>
    <t>despues posiciones temporada regular</t>
  </si>
  <si>
    <t>L</t>
  </si>
  <si>
    <t>J</t>
  </si>
  <si>
    <t>ES</t>
  </si>
  <si>
    <t>JL</t>
  </si>
  <si>
    <t>NP</t>
  </si>
  <si>
    <t>GA</t>
  </si>
  <si>
    <t>GJ</t>
  </si>
  <si>
    <t>EJ</t>
  </si>
  <si>
    <t>LN</t>
  </si>
  <si>
    <t>GS</t>
  </si>
  <si>
    <t>GE</t>
  </si>
  <si>
    <t>JN</t>
  </si>
  <si>
    <t>Win Rate</t>
  </si>
  <si>
    <t>LA</t>
  </si>
  <si>
    <t>JG</t>
  </si>
  <si>
    <t>NA</t>
  </si>
  <si>
    <t>LS</t>
  </si>
  <si>
    <t>EL</t>
  </si>
  <si>
    <t>GP</t>
  </si>
  <si>
    <t>AJ</t>
  </si>
  <si>
    <t>SN</t>
  </si>
  <si>
    <t>NE</t>
  </si>
  <si>
    <t>AS</t>
  </si>
  <si>
    <t>GL</t>
  </si>
  <si>
    <t>final en la F</t>
  </si>
  <si>
    <t>EA</t>
  </si>
  <si>
    <t>GN</t>
  </si>
  <si>
    <t>LJ</t>
  </si>
  <si>
    <t>AP</t>
  </si>
  <si>
    <t>EG</t>
  </si>
  <si>
    <t>NJ</t>
  </si>
  <si>
    <t>EP</t>
  </si>
  <si>
    <t>AN</t>
  </si>
  <si>
    <t>SL</t>
  </si>
  <si>
    <t>NS</t>
  </si>
  <si>
    <t>EN</t>
  </si>
  <si>
    <t>JP</t>
  </si>
  <si>
    <t>SA</t>
  </si>
  <si>
    <t>2020-1</t>
  </si>
  <si>
    <t>JS</t>
  </si>
  <si>
    <t>LC</t>
  </si>
  <si>
    <t>Puntos totales</t>
  </si>
  <si>
    <t>NC</t>
  </si>
  <si>
    <t>NL</t>
  </si>
  <si>
    <t>AC</t>
  </si>
  <si>
    <t>AL</t>
  </si>
  <si>
    <t>JE</t>
  </si>
  <si>
    <t>SC</t>
  </si>
  <si>
    <t>Point rate</t>
  </si>
  <si>
    <t>N</t>
  </si>
  <si>
    <t>EC</t>
  </si>
  <si>
    <t>C</t>
  </si>
  <si>
    <t>EK</t>
  </si>
  <si>
    <t>LE</t>
  </si>
  <si>
    <t>CG</t>
  </si>
  <si>
    <t>CJ</t>
  </si>
  <si>
    <t>: ultimo bloque</t>
  </si>
  <si>
    <t>CL</t>
  </si>
  <si>
    <t>SE</t>
  </si>
  <si>
    <t>Puntos 2019</t>
  </si>
  <si>
    <t>Puntos 2020</t>
  </si>
  <si>
    <t>Puntos 2021</t>
  </si>
  <si>
    <t>Puntos 2022</t>
  </si>
  <si>
    <t>Puntos 2023</t>
  </si>
  <si>
    <t>CE</t>
  </si>
  <si>
    <t>Puntos 2024</t>
  </si>
  <si>
    <t>Puntos 2025</t>
  </si>
  <si>
    <t>Puntos 2026</t>
  </si>
  <si>
    <t>JA</t>
  </si>
  <si>
    <t>JC</t>
  </si>
  <si>
    <t>Juany</t>
  </si>
  <si>
    <t>2021-1</t>
  </si>
  <si>
    <t>CN</t>
  </si>
  <si>
    <t>AG</t>
  </si>
  <si>
    <t>SG</t>
  </si>
  <si>
    <t>CS</t>
  </si>
  <si>
    <t>KN</t>
  </si>
  <si>
    <t>K</t>
  </si>
  <si>
    <t>GC</t>
  </si>
  <si>
    <t>CA</t>
  </si>
  <si>
    <t>Latuf</t>
  </si>
  <si>
    <t>KE</t>
  </si>
  <si>
    <t>2022-1</t>
  </si>
  <si>
    <t>KG</t>
  </si>
  <si>
    <t>KC</t>
  </si>
  <si>
    <t>KL</t>
  </si>
  <si>
    <t>JK</t>
  </si>
  <si>
    <t>KS</t>
  </si>
  <si>
    <t>GK</t>
  </si>
  <si>
    <t>CK</t>
  </si>
  <si>
    <t>Scrava</t>
  </si>
  <si>
    <t>Chevito</t>
  </si>
  <si>
    <t>2023 -1</t>
  </si>
  <si>
    <t>SK</t>
  </si>
  <si>
    <t>NK</t>
  </si>
  <si>
    <t>Nehue</t>
  </si>
  <si>
    <t>LK</t>
  </si>
  <si>
    <t>Gaspe</t>
  </si>
  <si>
    <t>KJ</t>
  </si>
  <si>
    <t>2024 -1</t>
  </si>
  <si>
    <t>Landa</t>
  </si>
  <si>
    <t xml:space="preserve">2025 - 1 </t>
  </si>
  <si>
    <t>2026 -1</t>
  </si>
  <si>
    <t>798.28</t>
  </si>
  <si>
    <t>e-g</t>
  </si>
  <si>
    <t>e-s</t>
  </si>
  <si>
    <t>e-n</t>
  </si>
  <si>
    <t>e-l</t>
  </si>
  <si>
    <t>e-c</t>
  </si>
  <si>
    <t>e-k</t>
  </si>
  <si>
    <t>e-j</t>
  </si>
  <si>
    <t>Relleno</t>
  </si>
  <si>
    <t>g-e</t>
  </si>
  <si>
    <t>g-s</t>
  </si>
  <si>
    <t>g-n</t>
  </si>
  <si>
    <t>g-l</t>
  </si>
  <si>
    <t>g-c</t>
  </si>
  <si>
    <t>g-k</t>
  </si>
  <si>
    <t>g-j</t>
  </si>
  <si>
    <t>s-e</t>
  </si>
  <si>
    <t>s-g</t>
  </si>
  <si>
    <t>s-n</t>
  </si>
  <si>
    <t>s-l</t>
  </si>
  <si>
    <t>s-c</t>
  </si>
  <si>
    <t>s-k</t>
  </si>
  <si>
    <t>s-j</t>
  </si>
  <si>
    <t>n-e</t>
  </si>
  <si>
    <t>n-g</t>
  </si>
  <si>
    <t>n-s</t>
  </si>
  <si>
    <t>n-l</t>
  </si>
  <si>
    <t>n-c</t>
  </si>
  <si>
    <t>n-k</t>
  </si>
  <si>
    <t>n-j</t>
  </si>
  <si>
    <t>l-e</t>
  </si>
  <si>
    <t>l-g</t>
  </si>
  <si>
    <t>l-s</t>
  </si>
  <si>
    <t>l-n</t>
  </si>
  <si>
    <t>l-c</t>
  </si>
  <si>
    <t>l-k</t>
  </si>
  <si>
    <t>l-j</t>
  </si>
  <si>
    <t>c-e</t>
  </si>
  <si>
    <t>c-g</t>
  </si>
  <si>
    <t>c-s</t>
  </si>
  <si>
    <t>c-n</t>
  </si>
  <si>
    <t>c-l</t>
  </si>
  <si>
    <t>c-k</t>
  </si>
  <si>
    <t>c-j</t>
  </si>
  <si>
    <t>k-e</t>
  </si>
  <si>
    <t>k-g</t>
  </si>
  <si>
    <t>k-s</t>
  </si>
  <si>
    <t>k-n</t>
  </si>
  <si>
    <t>k-l</t>
  </si>
  <si>
    <t>k-c</t>
  </si>
  <si>
    <t>k-j</t>
  </si>
  <si>
    <t>j-e</t>
  </si>
  <si>
    <t>j-g</t>
  </si>
  <si>
    <t>j-s</t>
  </si>
  <si>
    <t>j-n</t>
  </si>
  <si>
    <t>j-l</t>
  </si>
  <si>
    <t>j-c</t>
  </si>
  <si>
    <t>j-k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</si>
</sst>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C8C8C8"/>
        <bgColor rgb="FFC8C8C8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49" xfId="0" applyFont="1" applyNumberFormat="1"/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2" fontId="2" numFmtId="49" xfId="0" applyAlignment="1" applyBorder="1" applyFill="1" applyFont="1" applyNumberFormat="1">
      <alignment horizontal="center"/>
    </xf>
    <xf borderId="1" fillId="3" fontId="2" numFmtId="49" xfId="0" applyAlignment="1" applyBorder="1" applyFill="1" applyFont="1" applyNumberForma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vertical="center"/>
    </xf>
    <xf borderId="0" fillId="0" fontId="2" numFmtId="2" xfId="0" applyFont="1" applyNumberFormat="1"/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/>
    </xf>
    <xf borderId="1" fillId="4" fontId="2" numFmtId="49" xfId="0" applyAlignment="1" applyBorder="1" applyFill="1" applyFont="1" applyNumberFormat="1">
      <alignment horizontal="center"/>
    </xf>
    <xf borderId="1" fillId="7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1" fillId="5" fontId="2" numFmtId="49" xfId="0" applyAlignment="1" applyBorder="1" applyFill="1" applyFont="1" applyNumberFormat="1">
      <alignment horizontal="center"/>
    </xf>
    <xf borderId="1" fillId="6" fontId="2" numFmtId="49" xfId="0" applyAlignment="1" applyBorder="1" applyFill="1" applyFont="1" applyNumberFormat="1">
      <alignment horizontal="center"/>
    </xf>
    <xf borderId="1" fillId="8" fontId="2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center"/>
    </xf>
    <xf borderId="1" fillId="10" fontId="2" numFmtId="0" xfId="0" applyAlignment="1" applyBorder="1" applyFill="1" applyFont="1">
      <alignment horizontal="center"/>
    </xf>
    <xf borderId="1" fillId="10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6" width="10.71"/>
  </cols>
  <sheetData>
    <row r="1">
      <c r="A1" s="2" t="s">
        <v>2</v>
      </c>
      <c r="B1" s="1">
        <v>107.0</v>
      </c>
    </row>
    <row r="2">
      <c r="A2" s="2" t="s">
        <v>5</v>
      </c>
    </row>
    <row r="3">
      <c r="A3" s="2" t="s">
        <v>6</v>
      </c>
    </row>
    <row r="4">
      <c r="A4" s="2"/>
    </row>
    <row r="5">
      <c r="A5" s="2"/>
    </row>
    <row r="6">
      <c r="A6" s="5" t="s">
        <v>7</v>
      </c>
      <c r="B6" s="2" t="s">
        <v>13</v>
      </c>
    </row>
    <row r="7">
      <c r="A7" s="5" t="s">
        <v>14</v>
      </c>
    </row>
    <row r="8">
      <c r="A8" s="5" t="s">
        <v>16</v>
      </c>
    </row>
    <row r="9">
      <c r="A9" s="7" t="s">
        <v>17</v>
      </c>
    </row>
    <row r="10">
      <c r="A10" s="7" t="s">
        <v>24</v>
      </c>
      <c r="B10" s="1">
        <v>2.0</v>
      </c>
    </row>
    <row r="11">
      <c r="A11" s="7" t="s">
        <v>25</v>
      </c>
    </row>
    <row r="12">
      <c r="A12" s="7" t="s">
        <v>26</v>
      </c>
    </row>
    <row r="13">
      <c r="A13" s="7" t="s">
        <v>27</v>
      </c>
    </row>
    <row r="14">
      <c r="A14" s="7" t="s">
        <v>29</v>
      </c>
      <c r="B14" s="1">
        <v>3.0</v>
      </c>
    </row>
    <row r="15">
      <c r="A15" s="7" t="s">
        <v>30</v>
      </c>
    </row>
    <row r="16">
      <c r="A16" s="7" t="s">
        <v>31</v>
      </c>
    </row>
    <row r="17">
      <c r="A17" s="7" t="s">
        <v>32</v>
      </c>
      <c r="B17" s="1">
        <v>4.0</v>
      </c>
    </row>
    <row r="18">
      <c r="A18" s="7" t="s">
        <v>33</v>
      </c>
    </row>
    <row r="19">
      <c r="A19" s="7" t="s">
        <v>35</v>
      </c>
    </row>
    <row r="20">
      <c r="A20" s="7" t="s">
        <v>36</v>
      </c>
      <c r="B20" s="1">
        <v>5.0</v>
      </c>
    </row>
    <row r="21" ht="15.75" customHeight="1">
      <c r="A21" s="7" t="s">
        <v>37</v>
      </c>
    </row>
    <row r="22" ht="15.75" customHeight="1">
      <c r="A22" s="7" t="s">
        <v>38</v>
      </c>
    </row>
    <row r="23" ht="15.75" customHeight="1">
      <c r="A23" s="7" t="s">
        <v>39</v>
      </c>
      <c r="B23" s="1">
        <v>6.0</v>
      </c>
    </row>
    <row r="24" ht="15.75" customHeight="1">
      <c r="A24" s="7" t="s">
        <v>40</v>
      </c>
    </row>
    <row r="25" ht="15.75" customHeight="1">
      <c r="A25" s="7" t="s">
        <v>41</v>
      </c>
    </row>
    <row r="26" ht="15.75" customHeight="1">
      <c r="A26" s="7" t="s">
        <v>42</v>
      </c>
    </row>
    <row r="27" ht="15.75" customHeight="1">
      <c r="A27" s="7" t="s">
        <v>43</v>
      </c>
      <c r="B27" s="1">
        <v>7.0</v>
      </c>
    </row>
    <row r="28" ht="15.75" customHeight="1">
      <c r="A28" s="7" t="s">
        <v>44</v>
      </c>
    </row>
    <row r="29" ht="15.75" customHeight="1">
      <c r="A29" s="7" t="s">
        <v>45</v>
      </c>
    </row>
    <row r="30" ht="15.75" customHeight="1">
      <c r="A30" s="7" t="s">
        <v>47</v>
      </c>
      <c r="B30" s="1">
        <v>8.0</v>
      </c>
    </row>
    <row r="31" ht="15.75" customHeight="1">
      <c r="A31" s="7" t="s">
        <v>16</v>
      </c>
    </row>
    <row r="32" ht="15.75" customHeight="1">
      <c r="A32" s="7" t="s">
        <v>14</v>
      </c>
    </row>
    <row r="33" ht="15.75" customHeight="1">
      <c r="A33" s="7" t="s">
        <v>48</v>
      </c>
    </row>
    <row r="34" ht="15.75" customHeight="1">
      <c r="A34" s="7" t="s">
        <v>24</v>
      </c>
      <c r="B34" s="1">
        <v>9.0</v>
      </c>
    </row>
    <row r="35" ht="15.75" customHeight="1">
      <c r="A35" s="7" t="s">
        <v>49</v>
      </c>
    </row>
    <row r="36" ht="15.75" customHeight="1">
      <c r="A36" s="7" t="s">
        <v>27</v>
      </c>
    </row>
    <row r="37" ht="15.75" customHeight="1">
      <c r="A37" s="7" t="s">
        <v>29</v>
      </c>
      <c r="B37" s="1">
        <v>10.0</v>
      </c>
    </row>
    <row r="38" ht="15.75" customHeight="1">
      <c r="A38" s="7" t="s">
        <v>30</v>
      </c>
    </row>
    <row r="39" ht="15.75" customHeight="1">
      <c r="A39" s="7" t="s">
        <v>50</v>
      </c>
    </row>
    <row r="40" ht="15.75" customHeight="1">
      <c r="A40" s="7" t="s">
        <v>31</v>
      </c>
    </row>
    <row r="41" ht="15.75" customHeight="1">
      <c r="A41" s="7" t="s">
        <v>51</v>
      </c>
      <c r="B41" s="1">
        <v>11.0</v>
      </c>
    </row>
    <row r="42" ht="15.75" customHeight="1">
      <c r="A42" s="7" t="s">
        <v>52</v>
      </c>
    </row>
    <row r="43" ht="15.75" customHeight="1">
      <c r="A43" s="7" t="s">
        <v>35</v>
      </c>
    </row>
    <row r="44" ht="15.75" customHeight="1">
      <c r="A44" s="7" t="s">
        <v>53</v>
      </c>
      <c r="B44" s="1">
        <v>12.0</v>
      </c>
    </row>
    <row r="45" ht="15.75" customHeight="1">
      <c r="A45" s="7" t="s">
        <v>36</v>
      </c>
    </row>
    <row r="46" ht="15.75" customHeight="1">
      <c r="A46" s="7" t="s">
        <v>54</v>
      </c>
    </row>
    <row r="47" ht="15.75" customHeight="1">
      <c r="A47" s="7" t="s">
        <v>55</v>
      </c>
    </row>
    <row r="48" ht="15.75" customHeight="1">
      <c r="A48" s="7" t="s">
        <v>39</v>
      </c>
      <c r="B48" s="1">
        <v>13.0</v>
      </c>
    </row>
    <row r="49" ht="15.75" customHeight="1">
      <c r="A49" s="7" t="s">
        <v>41</v>
      </c>
    </row>
    <row r="50" ht="15.75" customHeight="1">
      <c r="A50" s="7" t="s">
        <v>56</v>
      </c>
    </row>
    <row r="51" ht="15.75" customHeight="1">
      <c r="A51" s="7" t="s">
        <v>57</v>
      </c>
      <c r="B51" s="1">
        <v>14.0</v>
      </c>
    </row>
    <row r="52" ht="15.75" customHeight="1">
      <c r="A52" s="7" t="s">
        <v>58</v>
      </c>
    </row>
    <row r="53" ht="15.75" customHeight="1">
      <c r="A53" s="7" t="s">
        <v>59</v>
      </c>
    </row>
    <row r="54" ht="15.75" customHeight="1">
      <c r="A54" s="7" t="s">
        <v>12</v>
      </c>
    </row>
    <row r="55" ht="15.75" customHeight="1">
      <c r="A55" s="8" t="s">
        <v>47</v>
      </c>
      <c r="B55" s="1" t="s">
        <v>60</v>
      </c>
    </row>
    <row r="56" ht="15.75" customHeight="1">
      <c r="A56" s="8" t="s">
        <v>61</v>
      </c>
    </row>
    <row r="57" ht="15.75" customHeight="1">
      <c r="A57" s="8" t="s">
        <v>62</v>
      </c>
    </row>
    <row r="58" ht="15.75" customHeight="1">
      <c r="A58" s="8" t="s">
        <v>48</v>
      </c>
    </row>
    <row r="59" ht="15.75" customHeight="1">
      <c r="A59" s="8" t="s">
        <v>24</v>
      </c>
      <c r="B59" s="1">
        <v>2.0</v>
      </c>
    </row>
    <row r="60" ht="15.75" customHeight="1">
      <c r="A60" s="8" t="s">
        <v>49</v>
      </c>
    </row>
    <row r="61" ht="15.75" customHeight="1">
      <c r="A61" s="8" t="s">
        <v>64</v>
      </c>
    </row>
    <row r="62" ht="15.75" customHeight="1">
      <c r="A62" s="8" t="s">
        <v>27</v>
      </c>
    </row>
    <row r="63" ht="15.75" customHeight="1">
      <c r="A63" s="8" t="s">
        <v>29</v>
      </c>
      <c r="B63" s="1">
        <v>3.0</v>
      </c>
    </row>
    <row r="64" ht="15.75" customHeight="1">
      <c r="A64" s="8" t="s">
        <v>65</v>
      </c>
    </row>
    <row r="65" ht="15.75" customHeight="1">
      <c r="A65" s="8" t="s">
        <v>31</v>
      </c>
    </row>
    <row r="66" ht="15.75" customHeight="1">
      <c r="A66" s="8" t="s">
        <v>66</v>
      </c>
    </row>
    <row r="67" ht="15.75" customHeight="1">
      <c r="A67" s="8" t="s">
        <v>51</v>
      </c>
      <c r="B67" s="1">
        <v>4.0</v>
      </c>
    </row>
    <row r="68" ht="15.75" customHeight="1">
      <c r="A68" s="8" t="s">
        <v>33</v>
      </c>
    </row>
    <row r="69" ht="15.75" customHeight="1">
      <c r="A69" s="8" t="s">
        <v>67</v>
      </c>
    </row>
    <row r="70" ht="15.75" customHeight="1">
      <c r="A70" s="8" t="s">
        <v>69</v>
      </c>
    </row>
    <row r="71" ht="15.75" customHeight="1">
      <c r="A71" s="8" t="s">
        <v>72</v>
      </c>
      <c r="B71" s="1">
        <v>5.0</v>
      </c>
    </row>
    <row r="72" ht="15.75" customHeight="1">
      <c r="A72" s="8" t="s">
        <v>28</v>
      </c>
    </row>
    <row r="73" ht="15.75" customHeight="1">
      <c r="A73" s="8" t="s">
        <v>37</v>
      </c>
    </row>
    <row r="74" ht="15.75" customHeight="1">
      <c r="A74" s="8" t="s">
        <v>38</v>
      </c>
    </row>
    <row r="75" ht="15.75" customHeight="1">
      <c r="A75" s="8" t="s">
        <v>75</v>
      </c>
      <c r="B75" s="1">
        <v>6.0</v>
      </c>
    </row>
    <row r="76" ht="15.75" customHeight="1">
      <c r="A76" s="8" t="s">
        <v>41</v>
      </c>
    </row>
    <row r="77" ht="15.75" customHeight="1">
      <c r="A77" s="8" t="s">
        <v>76</v>
      </c>
    </row>
    <row r="78" ht="15.75" customHeight="1">
      <c r="A78" s="8" t="s">
        <v>56</v>
      </c>
    </row>
    <row r="79" ht="15.75" customHeight="1">
      <c r="A79" s="8" t="s">
        <v>57</v>
      </c>
      <c r="B79" s="1">
        <v>7.0</v>
      </c>
    </row>
    <row r="80" ht="15.75" customHeight="1">
      <c r="A80" s="8" t="s">
        <v>77</v>
      </c>
    </row>
    <row r="81" ht="15.75" customHeight="1">
      <c r="A81" s="8" t="s">
        <v>59</v>
      </c>
    </row>
    <row r="82" ht="15.75" customHeight="1">
      <c r="A82" s="8" t="s">
        <v>45</v>
      </c>
    </row>
    <row r="83" ht="15.75" customHeight="1">
      <c r="A83" s="8" t="s">
        <v>7</v>
      </c>
      <c r="B83" s="1">
        <v>8.0</v>
      </c>
    </row>
    <row r="84" ht="15.75" customHeight="1">
      <c r="A84" s="8" t="s">
        <v>61</v>
      </c>
    </row>
    <row r="85" ht="15.75" customHeight="1">
      <c r="A85" s="8" t="s">
        <v>79</v>
      </c>
    </row>
    <row r="86" ht="15.75" customHeight="1">
      <c r="A86" s="8" t="s">
        <v>48</v>
      </c>
    </row>
    <row r="87" ht="15.75" customHeight="1">
      <c r="A87" s="8" t="s">
        <v>80</v>
      </c>
      <c r="B87" s="1">
        <v>9.0</v>
      </c>
    </row>
    <row r="88" ht="15.75" customHeight="1">
      <c r="A88" s="8" t="s">
        <v>25</v>
      </c>
    </row>
    <row r="89" ht="15.75" customHeight="1">
      <c r="A89" s="8" t="s">
        <v>64</v>
      </c>
    </row>
    <row r="90" ht="15.75" customHeight="1">
      <c r="A90" s="8" t="s">
        <v>27</v>
      </c>
    </row>
    <row r="91" ht="15.75" customHeight="1">
      <c r="A91" s="8" t="s">
        <v>68</v>
      </c>
      <c r="B91" s="1">
        <v>10.0</v>
      </c>
    </row>
    <row r="92" ht="15.75" customHeight="1">
      <c r="A92" s="8" t="s">
        <v>30</v>
      </c>
    </row>
    <row r="93" ht="15.75" customHeight="1">
      <c r="A93" s="8" t="s">
        <v>31</v>
      </c>
    </row>
    <row r="94" ht="15.75" customHeight="1">
      <c r="A94" s="8" t="s">
        <v>66</v>
      </c>
    </row>
    <row r="95" ht="15.75" customHeight="1">
      <c r="A95" s="8" t="s">
        <v>51</v>
      </c>
      <c r="B95" s="1">
        <v>11.0</v>
      </c>
    </row>
    <row r="96" ht="15.75" customHeight="1">
      <c r="A96" s="8" t="s">
        <v>33</v>
      </c>
    </row>
    <row r="97" ht="15.75" customHeight="1">
      <c r="A97" s="8" t="s">
        <v>35</v>
      </c>
    </row>
    <row r="98" ht="15.75" customHeight="1">
      <c r="A98" s="8" t="s">
        <v>69</v>
      </c>
    </row>
    <row r="99" ht="15.75" customHeight="1">
      <c r="A99" s="8" t="s">
        <v>86</v>
      </c>
      <c r="B99" s="1">
        <v>12.0</v>
      </c>
    </row>
    <row r="100" ht="15.75" customHeight="1">
      <c r="A100" s="8" t="s">
        <v>28</v>
      </c>
    </row>
    <row r="101" ht="15.75" customHeight="1">
      <c r="A101" s="8" t="s">
        <v>37</v>
      </c>
    </row>
    <row r="102" ht="15.75" customHeight="1">
      <c r="A102" s="8" t="s">
        <v>55</v>
      </c>
    </row>
    <row r="103" ht="15.75" customHeight="1">
      <c r="A103" s="8" t="s">
        <v>75</v>
      </c>
      <c r="B103" s="1">
        <v>13.0</v>
      </c>
    </row>
    <row r="104" ht="15.75" customHeight="1">
      <c r="A104" s="8" t="s">
        <v>90</v>
      </c>
    </row>
    <row r="105" ht="15.75" customHeight="1">
      <c r="A105" s="8" t="s">
        <v>76</v>
      </c>
    </row>
    <row r="106" ht="15.75" customHeight="1">
      <c r="A106" s="8" t="s">
        <v>56</v>
      </c>
    </row>
    <row r="107" ht="15.75" customHeight="1">
      <c r="A107" s="8" t="s">
        <v>57</v>
      </c>
      <c r="B107" s="1">
        <v>14.0</v>
      </c>
    </row>
    <row r="108" ht="15.75" customHeight="1">
      <c r="A108" s="8" t="s">
        <v>91</v>
      </c>
    </row>
    <row r="109" ht="15.75" customHeight="1">
      <c r="A109" s="8" t="s">
        <v>44</v>
      </c>
    </row>
    <row r="110" ht="15.75" customHeight="1">
      <c r="A110" s="8" t="s">
        <v>45</v>
      </c>
    </row>
    <row r="111" ht="15.75" customHeight="1">
      <c r="A111" s="17" t="s">
        <v>47</v>
      </c>
      <c r="B111" s="1" t="s">
        <v>93</v>
      </c>
    </row>
    <row r="112" ht="15.75" customHeight="1">
      <c r="A112" s="17" t="s">
        <v>14</v>
      </c>
    </row>
    <row r="113" ht="15.75" customHeight="1">
      <c r="A113" s="17" t="s">
        <v>79</v>
      </c>
    </row>
    <row r="114" ht="15.75" customHeight="1">
      <c r="A114" s="17" t="s">
        <v>17</v>
      </c>
    </row>
    <row r="115" ht="15.75" customHeight="1">
      <c r="A115" s="17" t="s">
        <v>80</v>
      </c>
      <c r="B115" s="1">
        <v>2.0</v>
      </c>
    </row>
    <row r="116" ht="15.75" customHeight="1">
      <c r="A116" s="17" t="s">
        <v>25</v>
      </c>
    </row>
    <row r="117" ht="15.75" customHeight="1">
      <c r="A117" s="17" t="s">
        <v>94</v>
      </c>
    </row>
    <row r="118" ht="15.75" customHeight="1">
      <c r="A118" s="17" t="s">
        <v>95</v>
      </c>
    </row>
    <row r="119" ht="15.75" customHeight="1">
      <c r="A119" s="17" t="s">
        <v>68</v>
      </c>
      <c r="B119" s="1">
        <v>3.0</v>
      </c>
    </row>
    <row r="120" ht="15.75" customHeight="1">
      <c r="A120" s="17" t="s">
        <v>30</v>
      </c>
    </row>
    <row r="121" ht="15.75" customHeight="1">
      <c r="A121" s="17" t="s">
        <v>96</v>
      </c>
    </row>
    <row r="122" ht="15.75" customHeight="1">
      <c r="A122" s="17" t="s">
        <v>66</v>
      </c>
    </row>
    <row r="123" ht="15.75" customHeight="1">
      <c r="A123" s="17" t="s">
        <v>32</v>
      </c>
      <c r="B123" s="1">
        <v>4.0</v>
      </c>
    </row>
    <row r="124" ht="15.75" customHeight="1">
      <c r="A124" s="17" t="s">
        <v>33</v>
      </c>
    </row>
    <row r="125" ht="15.75" customHeight="1">
      <c r="A125" s="17" t="s">
        <v>35</v>
      </c>
    </row>
    <row r="126" ht="15.75" customHeight="1">
      <c r="A126" s="17" t="s">
        <v>97</v>
      </c>
    </row>
    <row r="127" ht="15.75" customHeight="1">
      <c r="A127" s="17" t="s">
        <v>72</v>
      </c>
      <c r="B127" s="1">
        <v>5.0</v>
      </c>
    </row>
    <row r="128" ht="15.75" customHeight="1">
      <c r="A128" s="17" t="s">
        <v>36</v>
      </c>
    </row>
    <row r="129" ht="15.75" customHeight="1">
      <c r="A129" s="17" t="s">
        <v>54</v>
      </c>
    </row>
    <row r="130" ht="15.75" customHeight="1">
      <c r="A130" s="17" t="s">
        <v>38</v>
      </c>
    </row>
    <row r="131" ht="15.75" customHeight="1">
      <c r="A131" s="17" t="s">
        <v>39</v>
      </c>
      <c r="B131" s="1">
        <v>6.0</v>
      </c>
    </row>
    <row r="132" ht="15.75" customHeight="1">
      <c r="A132" s="17" t="s">
        <v>90</v>
      </c>
    </row>
    <row r="133" ht="15.75" customHeight="1">
      <c r="A133" s="17" t="s">
        <v>100</v>
      </c>
    </row>
    <row r="134" ht="15.75" customHeight="1">
      <c r="A134" s="17" t="s">
        <v>42</v>
      </c>
    </row>
    <row r="135" ht="15.75" customHeight="1">
      <c r="A135" s="17" t="s">
        <v>43</v>
      </c>
      <c r="B135" s="1">
        <v>7.0</v>
      </c>
    </row>
    <row r="136" ht="15.75" customHeight="1">
      <c r="A136" s="17" t="s">
        <v>91</v>
      </c>
    </row>
    <row r="137" ht="15.75" customHeight="1">
      <c r="A137" s="17" t="s">
        <v>59</v>
      </c>
    </row>
    <row r="138" ht="15.75" customHeight="1">
      <c r="A138" s="17" t="s">
        <v>12</v>
      </c>
    </row>
    <row r="139" ht="15.75" customHeight="1">
      <c r="A139" s="17" t="s">
        <v>47</v>
      </c>
      <c r="B139" s="1">
        <v>8.0</v>
      </c>
    </row>
    <row r="140" ht="15.75" customHeight="1">
      <c r="A140" s="17" t="s">
        <v>61</v>
      </c>
    </row>
    <row r="141" ht="15.75" customHeight="1">
      <c r="A141" s="17" t="s">
        <v>62</v>
      </c>
    </row>
    <row r="142" ht="15.75" customHeight="1">
      <c r="A142" s="17" t="s">
        <v>17</v>
      </c>
    </row>
    <row r="143" ht="15.75" customHeight="1">
      <c r="A143" s="17" t="s">
        <v>24</v>
      </c>
      <c r="B143" s="1">
        <v>9.0</v>
      </c>
    </row>
    <row r="144" ht="15.75" customHeight="1">
      <c r="A144" s="17" t="s">
        <v>25</v>
      </c>
    </row>
    <row r="145" ht="15.75" customHeight="1">
      <c r="A145" s="17" t="s">
        <v>94</v>
      </c>
    </row>
    <row r="146" ht="15.75" customHeight="1">
      <c r="A146" s="17" t="s">
        <v>95</v>
      </c>
    </row>
    <row r="147" ht="15.75" customHeight="1">
      <c r="A147" s="17" t="s">
        <v>68</v>
      </c>
      <c r="B147" s="1">
        <v>10.0</v>
      </c>
    </row>
    <row r="148" ht="15.75" customHeight="1">
      <c r="A148" s="17" t="s">
        <v>65</v>
      </c>
    </row>
    <row r="149" ht="15.75" customHeight="1">
      <c r="A149" s="17" t="s">
        <v>96</v>
      </c>
    </row>
    <row r="150" ht="15.75" customHeight="1">
      <c r="A150" s="17" t="s">
        <v>101</v>
      </c>
    </row>
    <row r="151" ht="15.75" customHeight="1">
      <c r="A151" s="17" t="s">
        <v>51</v>
      </c>
      <c r="B151" s="1">
        <v>11.0</v>
      </c>
    </row>
    <row r="152" ht="15.75" customHeight="1">
      <c r="A152" s="17" t="s">
        <v>52</v>
      </c>
    </row>
    <row r="153" ht="15.75" customHeight="1">
      <c r="A153" s="17" t="s">
        <v>35</v>
      </c>
    </row>
    <row r="154" ht="15.75" customHeight="1">
      <c r="A154" s="17" t="s">
        <v>69</v>
      </c>
    </row>
    <row r="155" ht="15.75" customHeight="1">
      <c r="A155" s="17" t="s">
        <v>86</v>
      </c>
      <c r="B155" s="1">
        <v>12.0</v>
      </c>
    </row>
    <row r="156" ht="15.75" customHeight="1">
      <c r="A156" s="17" t="s">
        <v>36</v>
      </c>
    </row>
    <row r="157" ht="15.75" customHeight="1">
      <c r="A157" s="17" t="s">
        <v>54</v>
      </c>
    </row>
    <row r="158" ht="15.75" customHeight="1">
      <c r="A158" s="17" t="s">
        <v>38</v>
      </c>
    </row>
    <row r="159" ht="15.75" customHeight="1">
      <c r="A159" s="17" t="s">
        <v>39</v>
      </c>
      <c r="B159" s="1">
        <v>13.0</v>
      </c>
    </row>
    <row r="160" ht="15.75" customHeight="1">
      <c r="A160" s="17" t="s">
        <v>41</v>
      </c>
    </row>
    <row r="161" ht="15.75" customHeight="1">
      <c r="A161" s="17" t="s">
        <v>76</v>
      </c>
    </row>
    <row r="162" ht="15.75" customHeight="1">
      <c r="A162" s="17" t="s">
        <v>42</v>
      </c>
    </row>
    <row r="163" ht="15.75" customHeight="1">
      <c r="A163" s="17" t="s">
        <v>57</v>
      </c>
      <c r="B163" s="1">
        <v>14.0</v>
      </c>
    </row>
    <row r="164" ht="15.75" customHeight="1">
      <c r="A164" s="17" t="s">
        <v>91</v>
      </c>
    </row>
    <row r="165" ht="15.75" customHeight="1">
      <c r="A165" s="17" t="s">
        <v>59</v>
      </c>
    </row>
    <row r="166" ht="15.75" customHeight="1">
      <c r="A166" s="17" t="s">
        <v>12</v>
      </c>
    </row>
    <row r="167" ht="15.75" customHeight="1">
      <c r="A167" s="17" t="s">
        <v>47</v>
      </c>
      <c r="B167" s="1">
        <v>15.0</v>
      </c>
    </row>
    <row r="168" ht="15.75" customHeight="1">
      <c r="A168" s="17" t="s">
        <v>61</v>
      </c>
    </row>
    <row r="169" ht="15.75" customHeight="1">
      <c r="A169" s="17" t="s">
        <v>79</v>
      </c>
    </row>
    <row r="170" ht="15.75" customHeight="1">
      <c r="A170" s="17" t="s">
        <v>17</v>
      </c>
    </row>
    <row r="171" ht="15.75" customHeight="1">
      <c r="A171" s="22" t="s">
        <v>103</v>
      </c>
      <c r="B171" s="1" t="s">
        <v>104</v>
      </c>
    </row>
    <row r="172" ht="15.75" customHeight="1">
      <c r="A172" s="22" t="s">
        <v>61</v>
      </c>
    </row>
    <row r="173" ht="15.75" customHeight="1">
      <c r="A173" s="22" t="s">
        <v>62</v>
      </c>
    </row>
    <row r="174" ht="15.75" customHeight="1">
      <c r="A174" s="22" t="s">
        <v>17</v>
      </c>
    </row>
    <row r="175" ht="15.75" customHeight="1">
      <c r="A175" s="22" t="s">
        <v>24</v>
      </c>
      <c r="B175" s="1">
        <v>2.0</v>
      </c>
    </row>
    <row r="176" ht="15.75" customHeight="1">
      <c r="A176" s="22" t="s">
        <v>49</v>
      </c>
    </row>
    <row r="177" ht="15.75" customHeight="1">
      <c r="A177" s="22" t="s">
        <v>94</v>
      </c>
    </row>
    <row r="178" ht="15.75" customHeight="1">
      <c r="A178" s="22" t="s">
        <v>105</v>
      </c>
    </row>
    <row r="179" ht="15.75" customHeight="1">
      <c r="A179" s="22" t="s">
        <v>68</v>
      </c>
      <c r="B179" s="1">
        <v>3.0</v>
      </c>
    </row>
    <row r="180" ht="15.75" customHeight="1">
      <c r="A180" s="22" t="s">
        <v>30</v>
      </c>
    </row>
    <row r="181" ht="15.75" customHeight="1">
      <c r="A181" s="22" t="s">
        <v>96</v>
      </c>
    </row>
    <row r="182" ht="15.75" customHeight="1">
      <c r="A182" s="22" t="s">
        <v>106</v>
      </c>
    </row>
    <row r="183" ht="15.75" customHeight="1">
      <c r="A183" s="22" t="s">
        <v>51</v>
      </c>
      <c r="B183" s="1">
        <v>4.0</v>
      </c>
    </row>
    <row r="184" ht="15.75" customHeight="1">
      <c r="A184" s="22" t="s">
        <v>52</v>
      </c>
    </row>
    <row r="185" ht="15.75" customHeight="1">
      <c r="A185" s="22" t="s">
        <v>107</v>
      </c>
    </row>
    <row r="186" ht="15.75" customHeight="1">
      <c r="A186" s="22" t="s">
        <v>69</v>
      </c>
    </row>
    <row r="187" ht="15.75" customHeight="1">
      <c r="A187" s="22" t="s">
        <v>86</v>
      </c>
      <c r="B187" s="1">
        <v>5.0</v>
      </c>
    </row>
    <row r="188" ht="15.75" customHeight="1">
      <c r="A188" s="22" t="s">
        <v>36</v>
      </c>
    </row>
    <row r="189" ht="15.75" customHeight="1">
      <c r="A189" s="22" t="s">
        <v>98</v>
      </c>
    </row>
    <row r="190" ht="15.75" customHeight="1">
      <c r="A190" s="22" t="s">
        <v>55</v>
      </c>
    </row>
    <row r="191" ht="15.75" customHeight="1">
      <c r="A191" s="22" t="s">
        <v>39</v>
      </c>
      <c r="B191" s="1">
        <v>6.0</v>
      </c>
    </row>
    <row r="192" ht="15.75" customHeight="1">
      <c r="A192" s="22" t="s">
        <v>108</v>
      </c>
    </row>
    <row r="193" ht="15.75" customHeight="1">
      <c r="A193" s="22" t="s">
        <v>76</v>
      </c>
    </row>
    <row r="194" ht="15.75" customHeight="1">
      <c r="A194" s="22" t="s">
        <v>56</v>
      </c>
    </row>
    <row r="195" ht="15.75" customHeight="1">
      <c r="A195" s="22" t="s">
        <v>57</v>
      </c>
      <c r="B195" s="1">
        <v>7.0</v>
      </c>
    </row>
    <row r="196" ht="15.75" customHeight="1">
      <c r="A196" s="22" t="s">
        <v>91</v>
      </c>
    </row>
    <row r="197" ht="15.75" customHeight="1">
      <c r="A197" s="22" t="s">
        <v>109</v>
      </c>
    </row>
    <row r="198" ht="15.75" customHeight="1">
      <c r="A198" s="22" t="s">
        <v>45</v>
      </c>
    </row>
    <row r="199" ht="15.75" customHeight="1">
      <c r="A199" s="22" t="s">
        <v>74</v>
      </c>
      <c r="B199" s="1">
        <v>8.0</v>
      </c>
    </row>
    <row r="200" ht="15.75" customHeight="1">
      <c r="A200" s="22" t="s">
        <v>61</v>
      </c>
    </row>
    <row r="201" ht="15.75" customHeight="1">
      <c r="A201" s="22" t="s">
        <v>79</v>
      </c>
    </row>
    <row r="202" ht="15.75" customHeight="1">
      <c r="A202" s="22" t="s">
        <v>17</v>
      </c>
    </row>
    <row r="203" ht="15.75" customHeight="1">
      <c r="A203" s="22" t="s">
        <v>80</v>
      </c>
      <c r="B203" s="1">
        <v>9.0</v>
      </c>
    </row>
    <row r="204" ht="15.75" customHeight="1">
      <c r="A204" s="22" t="s">
        <v>25</v>
      </c>
    </row>
    <row r="205" ht="15.75" customHeight="1">
      <c r="A205" s="22" t="s">
        <v>64</v>
      </c>
    </row>
    <row r="206" ht="15.75" customHeight="1">
      <c r="A206" s="22" t="s">
        <v>110</v>
      </c>
    </row>
    <row r="207" ht="15.75" customHeight="1">
      <c r="A207" s="22" t="s">
        <v>29</v>
      </c>
      <c r="B207" s="1">
        <v>10.0</v>
      </c>
    </row>
    <row r="208" ht="15.75" customHeight="1">
      <c r="A208" s="22" t="s">
        <v>62</v>
      </c>
    </row>
    <row r="209" ht="15.75" customHeight="1">
      <c r="A209" s="22" t="s">
        <v>96</v>
      </c>
    </row>
    <row r="210" ht="15.75" customHeight="1">
      <c r="A210" s="22" t="s">
        <v>111</v>
      </c>
    </row>
    <row r="211" ht="15.75" customHeight="1">
      <c r="A211" s="22" t="s">
        <v>51</v>
      </c>
      <c r="B211" s="1">
        <v>11.0</v>
      </c>
    </row>
    <row r="212" ht="15.75" customHeight="1">
      <c r="A212" s="22" t="s">
        <v>52</v>
      </c>
    </row>
    <row r="213" ht="15.75" customHeight="1">
      <c r="A213" s="22" t="s">
        <v>107</v>
      </c>
    </row>
    <row r="214" ht="15.75" customHeight="1">
      <c r="A214" s="22" t="s">
        <v>69</v>
      </c>
    </row>
    <row r="215" ht="15.75" customHeight="1">
      <c r="A215" s="22" t="s">
        <v>86</v>
      </c>
      <c r="B215" s="1">
        <v>12.0</v>
      </c>
    </row>
    <row r="216" ht="15.75" customHeight="1">
      <c r="A216" s="22" t="s">
        <v>36</v>
      </c>
    </row>
    <row r="217" ht="15.75" customHeight="1">
      <c r="A217" s="22" t="s">
        <v>98</v>
      </c>
    </row>
    <row r="218" ht="15.75" customHeight="1">
      <c r="A218" s="22" t="s">
        <v>55</v>
      </c>
    </row>
    <row r="219" ht="15.75" customHeight="1">
      <c r="A219" s="22" t="s">
        <v>39</v>
      </c>
      <c r="B219" s="1">
        <v>13.0</v>
      </c>
    </row>
    <row r="220" ht="15.75" customHeight="1">
      <c r="A220" s="22" t="s">
        <v>108</v>
      </c>
    </row>
    <row r="221" ht="15.75" customHeight="1">
      <c r="A221" s="22" t="s">
        <v>76</v>
      </c>
    </row>
    <row r="222" ht="15.75" customHeight="1">
      <c r="A222" s="22" t="s">
        <v>56</v>
      </c>
    </row>
    <row r="223" ht="15.75" customHeight="1">
      <c r="A223" s="22" t="s">
        <v>57</v>
      </c>
      <c r="B223" s="1">
        <v>14.0</v>
      </c>
    </row>
    <row r="224" ht="15.75" customHeight="1">
      <c r="A224" s="22" t="s">
        <v>91</v>
      </c>
    </row>
    <row r="225" ht="15.75" customHeight="1">
      <c r="A225" s="22" t="s">
        <v>109</v>
      </c>
    </row>
    <row r="226" ht="15.75" customHeight="1">
      <c r="A226" s="22" t="s">
        <v>45</v>
      </c>
    </row>
    <row r="227" ht="15.75" customHeight="1">
      <c r="A227" s="22" t="s">
        <v>103</v>
      </c>
      <c r="B227" s="1">
        <v>15.0</v>
      </c>
    </row>
    <row r="228" ht="15.75" customHeight="1">
      <c r="A228" s="22" t="s">
        <v>14</v>
      </c>
    </row>
    <row r="229" ht="15.75" customHeight="1">
      <c r="A229" s="22" t="s">
        <v>79</v>
      </c>
    </row>
    <row r="230" ht="15.75" customHeight="1">
      <c r="A230" s="22" t="s">
        <v>17</v>
      </c>
    </row>
    <row r="231" ht="15.75" customHeight="1">
      <c r="A231" s="23" t="s">
        <v>51</v>
      </c>
      <c r="B231" s="1" t="s">
        <v>114</v>
      </c>
    </row>
    <row r="232" ht="15.75" customHeight="1">
      <c r="A232" s="23" t="s">
        <v>14</v>
      </c>
    </row>
    <row r="233" ht="15.75" customHeight="1">
      <c r="A233" s="23" t="s">
        <v>30</v>
      </c>
    </row>
    <row r="234" ht="15.75" customHeight="1">
      <c r="A234" s="23" t="s">
        <v>106</v>
      </c>
    </row>
    <row r="235" ht="15.75" customHeight="1">
      <c r="A235" s="20" t="s">
        <v>103</v>
      </c>
      <c r="B235" s="1">
        <v>2.0</v>
      </c>
    </row>
    <row r="236" ht="15.75" customHeight="1">
      <c r="A236" s="23" t="s">
        <v>52</v>
      </c>
    </row>
    <row r="237" ht="15.75" customHeight="1">
      <c r="A237" s="23" t="s">
        <v>79</v>
      </c>
    </row>
    <row r="238" ht="15.75" customHeight="1">
      <c r="A238" s="23" t="s">
        <v>31</v>
      </c>
    </row>
    <row r="239" ht="15.75" customHeight="1">
      <c r="A239" s="23" t="s">
        <v>43</v>
      </c>
      <c r="B239" s="1">
        <v>3.0</v>
      </c>
    </row>
    <row r="240" ht="15.75" customHeight="1">
      <c r="A240" s="23" t="s">
        <v>45</v>
      </c>
    </row>
    <row r="241" ht="15.75" customHeight="1">
      <c r="A241" s="23" t="s">
        <v>91</v>
      </c>
    </row>
    <row r="242" ht="15.75" customHeight="1">
      <c r="A242" s="23" t="s">
        <v>115</v>
      </c>
    </row>
    <row r="243" ht="15.75" customHeight="1">
      <c r="A243" s="23" t="s">
        <v>72</v>
      </c>
      <c r="B243" s="1">
        <v>4.0</v>
      </c>
    </row>
    <row r="244" ht="15.75" customHeight="1">
      <c r="A244" s="23" t="s">
        <v>42</v>
      </c>
    </row>
    <row r="245" ht="15.75" customHeight="1">
      <c r="A245" s="23" t="s">
        <v>110</v>
      </c>
    </row>
    <row r="246" ht="15.75" customHeight="1">
      <c r="A246" s="23" t="s">
        <v>25</v>
      </c>
    </row>
    <row r="247" ht="15.75" customHeight="1">
      <c r="A247" s="23" t="s">
        <v>80</v>
      </c>
      <c r="B247" s="1">
        <v>5.0</v>
      </c>
    </row>
    <row r="248" ht="15.75" customHeight="1">
      <c r="A248" s="23" t="s">
        <v>36</v>
      </c>
    </row>
    <row r="249" ht="15.75" customHeight="1">
      <c r="A249" s="23" t="s">
        <v>107</v>
      </c>
    </row>
    <row r="250" ht="15.75" customHeight="1">
      <c r="A250" s="23" t="s">
        <v>94</v>
      </c>
    </row>
    <row r="251" ht="15.75" customHeight="1">
      <c r="A251" s="23" t="s">
        <v>29</v>
      </c>
      <c r="B251" s="1">
        <v>6.0</v>
      </c>
    </row>
    <row r="252" ht="15.75" customHeight="1">
      <c r="A252" s="20" t="s">
        <v>55</v>
      </c>
    </row>
    <row r="253" ht="15.75" customHeight="1">
      <c r="A253" s="20" t="s">
        <v>76</v>
      </c>
    </row>
    <row r="254" ht="15.75" customHeight="1">
      <c r="A254" s="20" t="s">
        <v>116</v>
      </c>
    </row>
    <row r="255" ht="15.75" customHeight="1">
      <c r="A255" s="20" t="s">
        <v>75</v>
      </c>
      <c r="B255" s="1">
        <v>7.0</v>
      </c>
    </row>
    <row r="256" ht="15.75" customHeight="1">
      <c r="A256" s="20" t="s">
        <v>97</v>
      </c>
    </row>
    <row r="257" ht="15.75" customHeight="1">
      <c r="A257" s="20" t="s">
        <v>108</v>
      </c>
    </row>
    <row r="258" ht="15.75" customHeight="1">
      <c r="A258" s="20" t="s">
        <v>48</v>
      </c>
    </row>
    <row r="259" ht="15.75" customHeight="1">
      <c r="A259" s="20" t="s">
        <v>32</v>
      </c>
      <c r="B259" s="1">
        <v>8.0</v>
      </c>
    </row>
    <row r="260" ht="15.75" customHeight="1">
      <c r="A260" s="20" t="s">
        <v>49</v>
      </c>
    </row>
    <row r="261" ht="15.75" customHeight="1">
      <c r="A261" s="20" t="s">
        <v>115</v>
      </c>
    </row>
    <row r="262" ht="15.75" customHeight="1">
      <c r="A262" s="20" t="s">
        <v>64</v>
      </c>
    </row>
    <row r="263" ht="15.75" customHeight="1">
      <c r="A263" s="20" t="s">
        <v>24</v>
      </c>
      <c r="B263" s="1">
        <v>9.0</v>
      </c>
    </row>
    <row r="264" ht="15.75" customHeight="1">
      <c r="A264" s="20" t="s">
        <v>52</v>
      </c>
    </row>
    <row r="265" ht="15.75" customHeight="1">
      <c r="A265" s="20" t="s">
        <v>118</v>
      </c>
    </row>
    <row r="266" ht="15.75" customHeight="1">
      <c r="A266" s="20" t="s">
        <v>100</v>
      </c>
    </row>
    <row r="267" ht="15.75" customHeight="1">
      <c r="A267" s="20" t="s">
        <v>43</v>
      </c>
      <c r="B267" s="1">
        <v>10.0</v>
      </c>
    </row>
    <row r="268" ht="15.75" customHeight="1">
      <c r="A268" s="20" t="s">
        <v>38</v>
      </c>
    </row>
    <row r="269" ht="15.75" customHeight="1">
      <c r="A269" s="20" t="s">
        <v>91</v>
      </c>
    </row>
    <row r="270" ht="15.75" customHeight="1">
      <c r="A270" s="20" t="s">
        <v>105</v>
      </c>
    </row>
    <row r="271" ht="15.75" customHeight="1">
      <c r="A271" s="20" t="s">
        <v>86</v>
      </c>
      <c r="B271" s="1">
        <v>11.0</v>
      </c>
    </row>
    <row r="272" ht="15.75" customHeight="1">
      <c r="A272" s="20" t="s">
        <v>108</v>
      </c>
    </row>
    <row r="273" ht="15.75" customHeight="1">
      <c r="A273" s="20" t="s">
        <v>30</v>
      </c>
    </row>
    <row r="274" ht="15.75" customHeight="1">
      <c r="A274" s="20" t="s">
        <v>96</v>
      </c>
    </row>
    <row r="275" ht="15.75" customHeight="1">
      <c r="A275" s="20" t="s">
        <v>103</v>
      </c>
      <c r="B275" s="1">
        <v>12.0</v>
      </c>
    </row>
    <row r="276" ht="15.75" customHeight="1">
      <c r="A276" s="20" t="s">
        <v>79</v>
      </c>
    </row>
    <row r="277" ht="15.75" customHeight="1">
      <c r="A277" s="20" t="s">
        <v>61</v>
      </c>
    </row>
    <row r="278" ht="15.75" customHeight="1">
      <c r="A278" s="20" t="s">
        <v>17</v>
      </c>
    </row>
    <row r="279" ht="15.75" customHeight="1">
      <c r="A279" s="20" t="s">
        <v>29</v>
      </c>
      <c r="B279" s="1">
        <v>13.0</v>
      </c>
    </row>
    <row r="280" ht="15.75" customHeight="1">
      <c r="A280" s="20" t="s">
        <v>12</v>
      </c>
    </row>
    <row r="281" ht="15.75" customHeight="1">
      <c r="A281" s="20" t="s">
        <v>106</v>
      </c>
    </row>
    <row r="282" ht="15.75" customHeight="1">
      <c r="A282" s="20" t="s">
        <v>56</v>
      </c>
    </row>
    <row r="283" ht="15.75" customHeight="1">
      <c r="A283" s="20" t="s">
        <v>39</v>
      </c>
      <c r="B283" s="1">
        <v>14.0</v>
      </c>
    </row>
    <row r="284" ht="15.75" customHeight="1">
      <c r="A284" s="20" t="s">
        <v>98</v>
      </c>
    </row>
    <row r="285" ht="15.75" customHeight="1">
      <c r="A285" s="20" t="s">
        <v>36</v>
      </c>
    </row>
    <row r="286" ht="15.75" customHeight="1">
      <c r="A286" s="20" t="s">
        <v>97</v>
      </c>
    </row>
    <row r="287" ht="15.75" customHeight="1">
      <c r="A287" s="20" t="s">
        <v>86</v>
      </c>
      <c r="B287" s="1">
        <v>15.0</v>
      </c>
    </row>
    <row r="288" ht="15.75" customHeight="1">
      <c r="A288" s="20" t="s">
        <v>17</v>
      </c>
    </row>
    <row r="289" ht="15.75" customHeight="1">
      <c r="A289" s="20" t="s">
        <v>120</v>
      </c>
    </row>
    <row r="290" ht="15.75" customHeight="1">
      <c r="A290" s="20" t="s">
        <v>55</v>
      </c>
    </row>
    <row r="291" ht="15.75" customHeight="1">
      <c r="A291" s="24" t="s">
        <v>103</v>
      </c>
      <c r="B291" s="1" t="s">
        <v>121</v>
      </c>
    </row>
    <row r="292" ht="15.75" customHeight="1">
      <c r="A292" s="24" t="s">
        <v>17</v>
      </c>
    </row>
    <row r="293" ht="15.75" customHeight="1">
      <c r="A293" s="24" t="s">
        <v>61</v>
      </c>
    </row>
    <row r="294" ht="15.75" customHeight="1">
      <c r="A294" s="24" t="s">
        <v>79</v>
      </c>
    </row>
    <row r="295" ht="15.75" customHeight="1">
      <c r="A295" s="24" t="s">
        <v>80</v>
      </c>
      <c r="B295" s="1">
        <v>2.0</v>
      </c>
    </row>
    <row r="296" ht="15.75" customHeight="1">
      <c r="A296" s="24" t="s">
        <v>110</v>
      </c>
    </row>
    <row r="297" ht="15.75" customHeight="1">
      <c r="A297" s="24" t="s">
        <v>25</v>
      </c>
    </row>
    <row r="298" ht="15.75" customHeight="1">
      <c r="A298" s="24" t="s">
        <v>94</v>
      </c>
    </row>
    <row r="299" ht="15.75" customHeight="1">
      <c r="A299" s="24" t="s">
        <v>29</v>
      </c>
      <c r="B299" s="1">
        <v>3.0</v>
      </c>
    </row>
    <row r="300" ht="15.75" customHeight="1">
      <c r="A300" s="24" t="s">
        <v>30</v>
      </c>
    </row>
    <row r="301" ht="15.75" customHeight="1">
      <c r="A301" s="24" t="s">
        <v>31</v>
      </c>
    </row>
    <row r="302" ht="15.75" customHeight="1">
      <c r="A302" s="24" t="s">
        <v>111</v>
      </c>
    </row>
    <row r="303" ht="15.75" customHeight="1">
      <c r="A303" s="24" t="s">
        <v>32</v>
      </c>
      <c r="B303" s="1">
        <v>4.0</v>
      </c>
    </row>
    <row r="304" ht="15.75" customHeight="1">
      <c r="A304" s="24" t="s">
        <v>118</v>
      </c>
    </row>
    <row r="305" ht="15.75" customHeight="1">
      <c r="A305" s="24" t="s">
        <v>33</v>
      </c>
    </row>
    <row r="306" ht="15.75" customHeight="1">
      <c r="A306" s="24" t="s">
        <v>69</v>
      </c>
    </row>
    <row r="307" ht="15.75" customHeight="1">
      <c r="A307" s="24" t="s">
        <v>72</v>
      </c>
      <c r="B307" s="1">
        <v>5.0</v>
      </c>
    </row>
    <row r="308" ht="15.75" customHeight="1">
      <c r="A308" s="24" t="s">
        <v>36</v>
      </c>
    </row>
    <row r="309" ht="15.75" customHeight="1">
      <c r="A309" s="24" t="s">
        <v>116</v>
      </c>
    </row>
    <row r="310" ht="15.75" customHeight="1">
      <c r="A310" s="24" t="s">
        <v>38</v>
      </c>
    </row>
    <row r="311" ht="15.75" customHeight="1">
      <c r="A311" s="24" t="s">
        <v>75</v>
      </c>
      <c r="B311" s="1">
        <v>6.0</v>
      </c>
    </row>
    <row r="312" ht="15.75" customHeight="1">
      <c r="A312" s="24" t="s">
        <v>56</v>
      </c>
    </row>
    <row r="313" ht="15.75" customHeight="1">
      <c r="A313" s="24" t="s">
        <v>108</v>
      </c>
    </row>
    <row r="314" ht="15.75" customHeight="1">
      <c r="A314" s="24" t="s">
        <v>100</v>
      </c>
    </row>
    <row r="315" ht="15.75" customHeight="1">
      <c r="A315" s="24" t="s">
        <v>57</v>
      </c>
      <c r="B315" s="1">
        <v>7.0</v>
      </c>
    </row>
    <row r="316" ht="15.75" customHeight="1">
      <c r="A316" s="24" t="s">
        <v>12</v>
      </c>
    </row>
    <row r="317" ht="15.75" customHeight="1">
      <c r="A317" s="24" t="s">
        <v>115</v>
      </c>
    </row>
    <row r="318" ht="15.75" customHeight="1">
      <c r="A318" s="24" t="s">
        <v>77</v>
      </c>
    </row>
    <row r="319" ht="15.75" customHeight="1">
      <c r="A319" s="24" t="s">
        <v>74</v>
      </c>
      <c r="B319" s="1">
        <v>8.0</v>
      </c>
    </row>
    <row r="320" ht="15.75" customHeight="1">
      <c r="A320" s="24" t="s">
        <v>17</v>
      </c>
    </row>
    <row r="321" ht="15.75" customHeight="1">
      <c r="A321" s="24" t="s">
        <v>14</v>
      </c>
    </row>
    <row r="322" ht="15.75" customHeight="1">
      <c r="A322" s="24" t="s">
        <v>62</v>
      </c>
    </row>
    <row r="323" ht="15.75" customHeight="1">
      <c r="A323" s="24" t="s">
        <v>80</v>
      </c>
      <c r="B323" s="1">
        <v>9.0</v>
      </c>
    </row>
    <row r="324" ht="15.75" customHeight="1">
      <c r="A324" s="24" t="s">
        <v>110</v>
      </c>
    </row>
    <row r="325" ht="15.75" customHeight="1">
      <c r="A325" s="24" t="s">
        <v>25</v>
      </c>
    </row>
    <row r="326" ht="15.75" customHeight="1">
      <c r="A326" s="24" t="s">
        <v>64</v>
      </c>
    </row>
    <row r="327" ht="15.75" customHeight="1">
      <c r="A327" s="24" t="s">
        <v>68</v>
      </c>
      <c r="B327" s="1">
        <v>10.0</v>
      </c>
    </row>
    <row r="328" ht="15.75" customHeight="1">
      <c r="A328" s="24" t="s">
        <v>30</v>
      </c>
    </row>
    <row r="329" ht="15.75" customHeight="1">
      <c r="A329" s="24" t="s">
        <v>96</v>
      </c>
    </row>
    <row r="330" ht="15.75" customHeight="1">
      <c r="A330" s="24" t="s">
        <v>106</v>
      </c>
    </row>
    <row r="331" ht="15.75" customHeight="1">
      <c r="A331" s="24" t="s">
        <v>51</v>
      </c>
      <c r="B331" s="1">
        <v>11.0</v>
      </c>
    </row>
    <row r="332" ht="15.75" customHeight="1">
      <c r="A332" s="24" t="s">
        <v>107</v>
      </c>
    </row>
    <row r="333" ht="15.75" customHeight="1">
      <c r="A333" s="24" t="s">
        <v>52</v>
      </c>
    </row>
    <row r="334" ht="15.75" customHeight="1">
      <c r="A334" s="24" t="s">
        <v>97</v>
      </c>
    </row>
    <row r="335" ht="15.75" customHeight="1">
      <c r="A335" s="24" t="s">
        <v>86</v>
      </c>
      <c r="B335" s="1">
        <v>12.0</v>
      </c>
    </row>
    <row r="336" ht="15.75" customHeight="1">
      <c r="A336" s="24" t="s">
        <v>28</v>
      </c>
    </row>
    <row r="337" ht="15.75" customHeight="1">
      <c r="A337" s="24" t="s">
        <v>98</v>
      </c>
    </row>
    <row r="338" ht="15.75" customHeight="1">
      <c r="A338" s="24" t="s">
        <v>55</v>
      </c>
    </row>
    <row r="339" ht="15.75" customHeight="1">
      <c r="A339" s="24" t="s">
        <v>76</v>
      </c>
      <c r="B339" s="1">
        <v>13.0</v>
      </c>
    </row>
    <row r="340" ht="15.75" customHeight="1">
      <c r="A340" s="24" t="s">
        <v>120</v>
      </c>
    </row>
    <row r="341" ht="15.75" customHeight="1">
      <c r="A341" s="24" t="s">
        <v>42</v>
      </c>
    </row>
    <row r="342" ht="15.75" customHeight="1">
      <c r="A342" s="24" t="s">
        <v>39</v>
      </c>
    </row>
    <row r="343" ht="15.75" customHeight="1">
      <c r="A343" s="24" t="s">
        <v>91</v>
      </c>
      <c r="B343" s="1">
        <v>14.0</v>
      </c>
    </row>
    <row r="344" ht="15.75" customHeight="1">
      <c r="A344" s="24" t="s">
        <v>109</v>
      </c>
    </row>
    <row r="345" ht="15.75" customHeight="1">
      <c r="A345" s="24" t="s">
        <v>45</v>
      </c>
    </row>
    <row r="346" ht="15.75" customHeight="1">
      <c r="A346" s="24" t="s">
        <v>43</v>
      </c>
    </row>
    <row r="347" ht="15.75" customHeight="1">
      <c r="A347" s="24" t="s">
        <v>62</v>
      </c>
      <c r="B347" s="1">
        <v>15.0</v>
      </c>
    </row>
    <row r="348" ht="15.75" customHeight="1">
      <c r="A348" s="24" t="s">
        <v>61</v>
      </c>
    </row>
    <row r="349" ht="15.75" customHeight="1">
      <c r="A349" s="24" t="s">
        <v>103</v>
      </c>
    </row>
    <row r="350" ht="15.75" customHeight="1">
      <c r="A350" s="24" t="s">
        <v>48</v>
      </c>
    </row>
    <row r="351" ht="15.75" customHeight="1">
      <c r="A351" s="25" t="s">
        <v>77</v>
      </c>
      <c r="B351" s="1" t="s">
        <v>123</v>
      </c>
    </row>
    <row r="352" ht="15.75" customHeight="1">
      <c r="A352" s="25" t="s">
        <v>32</v>
      </c>
    </row>
    <row r="353" ht="15.75" customHeight="1">
      <c r="A353" s="25" t="s">
        <v>30</v>
      </c>
    </row>
    <row r="354" ht="15.75" customHeight="1">
      <c r="A354" s="25" t="s">
        <v>115</v>
      </c>
    </row>
    <row r="355" ht="15.75" customHeight="1">
      <c r="A355" s="25" t="s">
        <v>64</v>
      </c>
      <c r="B355" s="1">
        <v>2.0</v>
      </c>
    </row>
    <row r="356" ht="15.75" customHeight="1">
      <c r="A356" s="25" t="s">
        <v>31</v>
      </c>
    </row>
    <row r="357" ht="15.75" customHeight="1">
      <c r="A357" s="25" t="s">
        <v>75</v>
      </c>
    </row>
    <row r="358" ht="15.75" customHeight="1">
      <c r="A358" s="25" t="s">
        <v>108</v>
      </c>
    </row>
    <row r="359" ht="15.75" customHeight="1">
      <c r="A359" s="25" t="s">
        <v>106</v>
      </c>
      <c r="B359" s="1">
        <v>3.0</v>
      </c>
    </row>
    <row r="360" ht="15.75" customHeight="1">
      <c r="A360" s="25" t="s">
        <v>45</v>
      </c>
    </row>
    <row r="361" ht="15.75" customHeight="1">
      <c r="A361" s="25" t="s">
        <v>43</v>
      </c>
    </row>
    <row r="362" ht="15.75" customHeight="1">
      <c r="A362" s="25" t="s">
        <v>14</v>
      </c>
    </row>
    <row r="363" ht="15.75" customHeight="1">
      <c r="A363" s="25" t="s">
        <v>86</v>
      </c>
      <c r="B363" s="1">
        <v>4.0</v>
      </c>
    </row>
    <row r="364" ht="15.75" customHeight="1">
      <c r="A364" s="25" t="s">
        <v>42</v>
      </c>
    </row>
    <row r="365" ht="15.75" customHeight="1">
      <c r="A365" s="25" t="s">
        <v>110</v>
      </c>
    </row>
    <row r="366" ht="15.75" customHeight="1">
      <c r="A366" s="25" t="s">
        <v>25</v>
      </c>
    </row>
    <row r="367" ht="15.75" customHeight="1">
      <c r="A367" s="25" t="s">
        <v>100</v>
      </c>
      <c r="B367" s="1">
        <v>5.0</v>
      </c>
    </row>
    <row r="368" ht="15.75" customHeight="1">
      <c r="A368" s="25" t="s">
        <v>33</v>
      </c>
    </row>
    <row r="369" ht="15.75" customHeight="1">
      <c r="A369" s="25" t="s">
        <v>103</v>
      </c>
    </row>
    <row r="370" ht="15.75" customHeight="1">
      <c r="A370" s="25" t="s">
        <v>38</v>
      </c>
    </row>
    <row r="371" ht="15.75" customHeight="1">
      <c r="A371" s="25" t="s">
        <v>97</v>
      </c>
      <c r="B371" s="1">
        <v>6.0</v>
      </c>
    </row>
    <row r="372" ht="15.75" customHeight="1">
      <c r="A372" s="25" t="s">
        <v>48</v>
      </c>
    </row>
    <row r="373" ht="15.75" customHeight="1">
      <c r="A373" s="25" t="s">
        <v>118</v>
      </c>
    </row>
    <row r="374" ht="15.75" customHeight="1">
      <c r="A374" s="25" t="s">
        <v>68</v>
      </c>
    </row>
    <row r="375" ht="15.75" customHeight="1">
      <c r="A375" s="25" t="s">
        <v>62</v>
      </c>
      <c r="B375" s="1">
        <v>7.0</v>
      </c>
    </row>
    <row r="376" ht="15.75" customHeight="1">
      <c r="A376" s="25" t="s">
        <v>98</v>
      </c>
    </row>
    <row r="377" ht="15.75" customHeight="1">
      <c r="A377" s="25" t="s">
        <v>80</v>
      </c>
    </row>
    <row r="378" ht="15.75" customHeight="1">
      <c r="A378" s="25" t="s">
        <v>36</v>
      </c>
    </row>
    <row r="379" ht="15.75" customHeight="1">
      <c r="A379" s="25" t="s">
        <v>77</v>
      </c>
      <c r="B379" s="1">
        <v>8.0</v>
      </c>
    </row>
    <row r="380" ht="15.75" customHeight="1">
      <c r="A380" s="25" t="s">
        <v>56</v>
      </c>
    </row>
    <row r="381" ht="15.75" customHeight="1">
      <c r="A381" s="25" t="s">
        <v>107</v>
      </c>
    </row>
    <row r="382" ht="15.75" customHeight="1">
      <c r="A382" s="25" t="s">
        <v>32</v>
      </c>
    </row>
    <row r="383" ht="15.75" customHeight="1">
      <c r="A383" s="25" t="s">
        <v>79</v>
      </c>
      <c r="B383" s="1">
        <v>9.0</v>
      </c>
    </row>
    <row r="384" ht="15.75" customHeight="1">
      <c r="A384" s="25" t="s">
        <v>74</v>
      </c>
    </row>
    <row r="385" ht="15.75" customHeight="1">
      <c r="A385" s="25" t="s">
        <v>33</v>
      </c>
    </row>
    <row r="386" ht="15.75" customHeight="1">
      <c r="A386" s="25" t="s">
        <v>31</v>
      </c>
    </row>
    <row r="387" ht="15.75" customHeight="1">
      <c r="A387" s="25" t="s">
        <v>64</v>
      </c>
      <c r="B387" s="1">
        <v>10.0</v>
      </c>
    </row>
    <row r="388" ht="15.75" customHeight="1">
      <c r="A388" s="25" t="s">
        <v>110</v>
      </c>
    </row>
    <row r="389" ht="15.75" customHeight="1">
      <c r="A389" s="25" t="s">
        <v>80</v>
      </c>
    </row>
    <row r="390" ht="15.75" customHeight="1">
      <c r="A390" s="25" t="s">
        <v>25</v>
      </c>
    </row>
    <row r="391" ht="15.75" customHeight="1">
      <c r="A391" s="25" t="s">
        <v>97</v>
      </c>
      <c r="B391" s="1">
        <v>11.0</v>
      </c>
    </row>
    <row r="392" ht="15.75" customHeight="1">
      <c r="A392" s="25" t="s">
        <v>116</v>
      </c>
    </row>
    <row r="393" ht="15.75" customHeight="1">
      <c r="A393" s="25" t="s">
        <v>45</v>
      </c>
    </row>
    <row r="394" ht="15.75" customHeight="1">
      <c r="A394" s="25" t="s">
        <v>68</v>
      </c>
    </row>
    <row r="395" ht="15.75" customHeight="1">
      <c r="A395" s="25" t="s">
        <v>106</v>
      </c>
      <c r="B395" s="1">
        <v>12.0</v>
      </c>
    </row>
    <row r="396" ht="15.75" customHeight="1">
      <c r="A396" s="25" t="s">
        <v>61</v>
      </c>
    </row>
    <row r="397" ht="15.75" customHeight="1">
      <c r="A397" s="25" t="s">
        <v>48</v>
      </c>
    </row>
    <row r="398" ht="15.75" customHeight="1">
      <c r="A398" s="25" t="s">
        <v>75</v>
      </c>
    </row>
    <row r="399" ht="15.75" customHeight="1">
      <c r="A399" s="25" t="s">
        <v>72</v>
      </c>
      <c r="B399" s="1">
        <v>13.0</v>
      </c>
    </row>
    <row r="400" ht="15.75" customHeight="1">
      <c r="A400" s="25" t="s">
        <v>36</v>
      </c>
    </row>
    <row r="401" ht="15.75" customHeight="1">
      <c r="A401" s="25" t="s">
        <v>65</v>
      </c>
    </row>
    <row r="402" ht="15.75" customHeight="1">
      <c r="A402" s="25" t="s">
        <v>115</v>
      </c>
    </row>
    <row r="403" ht="15.75" customHeight="1">
      <c r="A403" s="25" t="s">
        <v>100</v>
      </c>
      <c r="B403" s="1">
        <v>14.0</v>
      </c>
    </row>
    <row r="404" ht="15.75" customHeight="1">
      <c r="A404" s="25" t="s">
        <v>108</v>
      </c>
    </row>
    <row r="405" ht="15.75" customHeight="1">
      <c r="A405" s="25" t="s">
        <v>57</v>
      </c>
    </row>
    <row r="406" ht="15.75" customHeight="1">
      <c r="A406" s="25" t="s">
        <v>38</v>
      </c>
    </row>
    <row r="407" ht="15.75" customHeight="1">
      <c r="A407" s="25" t="s">
        <v>62</v>
      </c>
      <c r="B407" s="1">
        <v>15.0</v>
      </c>
    </row>
    <row r="408" ht="15.75" customHeight="1">
      <c r="A408" s="25" t="s">
        <v>48</v>
      </c>
    </row>
    <row r="409" ht="15.75" customHeight="1">
      <c r="A409" s="25" t="s">
        <v>74</v>
      </c>
    </row>
    <row r="410" ht="15.75" customHeight="1">
      <c r="A410" s="25" t="s">
        <v>14</v>
      </c>
    </row>
    <row r="411" ht="15.75" customHeight="1">
      <c r="A411" s="26" t="s">
        <v>94</v>
      </c>
      <c r="B411" s="1" t="s">
        <v>124</v>
      </c>
    </row>
    <row r="412" ht="15.75" customHeight="1">
      <c r="A412" s="26" t="s">
        <v>28</v>
      </c>
    </row>
    <row r="413" ht="15.75" customHeight="1">
      <c r="A413" s="26" t="s">
        <v>55</v>
      </c>
    </row>
    <row r="414" ht="15.75" customHeight="1">
      <c r="A414" s="26" t="s">
        <v>103</v>
      </c>
    </row>
    <row r="415" ht="15.75" customHeight="1">
      <c r="A415" s="26" t="s">
        <v>79</v>
      </c>
      <c r="B415" s="1">
        <v>2.0</v>
      </c>
    </row>
    <row r="416" ht="15.75" customHeight="1">
      <c r="A416" s="26" t="s">
        <v>120</v>
      </c>
    </row>
    <row r="417" ht="15.75" customHeight="1">
      <c r="A417" s="26" t="s">
        <v>57</v>
      </c>
    </row>
    <row r="418" ht="15.75" customHeight="1">
      <c r="A418" s="27" t="s">
        <v>31</v>
      </c>
    </row>
    <row r="419" ht="15.75" customHeight="1">
      <c r="A419" s="26" t="s">
        <v>69</v>
      </c>
      <c r="B419" s="1">
        <v>3.0</v>
      </c>
    </row>
    <row r="420" ht="15.75" customHeight="1">
      <c r="A420" s="26" t="s">
        <v>52</v>
      </c>
    </row>
    <row r="421" ht="15.75" customHeight="1">
      <c r="A421" s="26" t="s">
        <v>107</v>
      </c>
    </row>
    <row r="422" ht="15.75" customHeight="1">
      <c r="A422" s="26" t="s">
        <v>51</v>
      </c>
    </row>
    <row r="423" ht="15.75" customHeight="1">
      <c r="A423" s="26" t="s">
        <v>91</v>
      </c>
      <c r="B423" s="1">
        <v>4.0</v>
      </c>
    </row>
    <row r="424" ht="15.75" customHeight="1">
      <c r="A424" s="26" t="s">
        <v>109</v>
      </c>
    </row>
    <row r="425" ht="15.75" customHeight="1">
      <c r="A425" s="26" t="s">
        <v>39</v>
      </c>
    </row>
    <row r="426" ht="15.75" customHeight="1">
      <c r="A426" s="26" t="s">
        <v>48</v>
      </c>
    </row>
    <row r="427" ht="15.75" customHeight="1">
      <c r="A427" s="27" t="s">
        <v>86</v>
      </c>
      <c r="B427" s="28">
        <v>5.0</v>
      </c>
    </row>
    <row r="428" ht="15.75" customHeight="1">
      <c r="A428" s="27" t="s">
        <v>14</v>
      </c>
    </row>
    <row r="429" ht="15.75" customHeight="1">
      <c r="A429" s="27" t="s">
        <v>30</v>
      </c>
    </row>
    <row r="430" ht="15.75" customHeight="1">
      <c r="A430" s="27" t="s">
        <v>110</v>
      </c>
    </row>
    <row r="431" ht="15.75" customHeight="1">
      <c r="A431" s="27" t="s">
        <v>111</v>
      </c>
      <c r="B431" s="28">
        <v>6.0</v>
      </c>
    </row>
    <row r="432" ht="15.75" customHeight="1">
      <c r="A432" s="27" t="s">
        <v>29</v>
      </c>
    </row>
    <row r="433" ht="15.75" customHeight="1">
      <c r="A433" s="27" t="s">
        <v>56</v>
      </c>
    </row>
    <row r="434" ht="15.75" customHeight="1">
      <c r="A434" s="27" t="s">
        <v>45</v>
      </c>
    </row>
    <row r="435" ht="15.75" customHeight="1">
      <c r="A435" s="26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</cols>
  <sheetData>
    <row r="1">
      <c r="A1" s="1" t="s">
        <v>0</v>
      </c>
      <c r="B1" s="3" t="s">
        <v>4</v>
      </c>
      <c r="C1" s="3" t="s">
        <v>8</v>
      </c>
      <c r="D1" s="3" t="s">
        <v>9</v>
      </c>
      <c r="E1" s="1" t="s">
        <v>10</v>
      </c>
    </row>
    <row r="4">
      <c r="E4" s="4"/>
      <c r="F4" s="4"/>
      <c r="G4" s="4"/>
    </row>
    <row r="5">
      <c r="A5" s="5" t="s">
        <v>12</v>
      </c>
      <c r="B5" s="6" t="s">
        <v>15</v>
      </c>
      <c r="C5" s="6" t="s">
        <v>18</v>
      </c>
      <c r="D5" s="6" t="s">
        <v>19</v>
      </c>
      <c r="E5" s="5" t="s">
        <v>16</v>
      </c>
      <c r="H5" s="1" t="s">
        <v>20</v>
      </c>
      <c r="J5" s="1" t="s">
        <v>21</v>
      </c>
    </row>
    <row r="6">
      <c r="B6" s="6" t="s">
        <v>22</v>
      </c>
      <c r="D6" s="6" t="s">
        <v>23</v>
      </c>
      <c r="E6" s="8" t="s">
        <v>28</v>
      </c>
      <c r="J6" s="1" t="s">
        <v>46</v>
      </c>
    </row>
    <row r="7">
      <c r="A7" s="9" t="s">
        <v>48</v>
      </c>
      <c r="B7" s="10" t="s">
        <v>18</v>
      </c>
      <c r="C7" s="10" t="s">
        <v>23</v>
      </c>
      <c r="D7" s="10" t="s">
        <v>19</v>
      </c>
      <c r="E7" s="12" t="s">
        <v>55</v>
      </c>
    </row>
    <row r="8">
      <c r="A8" s="8" t="s">
        <v>68</v>
      </c>
      <c r="B8" s="10" t="s">
        <v>15</v>
      </c>
      <c r="C8" s="10" t="s">
        <v>71</v>
      </c>
      <c r="D8" s="10" t="s">
        <v>73</v>
      </c>
      <c r="E8" s="13" t="s">
        <v>74</v>
      </c>
      <c r="H8" s="1">
        <v>2025.0</v>
      </c>
      <c r="I8" s="1" t="s">
        <v>78</v>
      </c>
    </row>
    <row r="9">
      <c r="A9" s="14" t="s">
        <v>49</v>
      </c>
      <c r="B9" s="12" t="s">
        <v>23</v>
      </c>
      <c r="C9" s="12" t="s">
        <v>19</v>
      </c>
      <c r="D9" s="12" t="s">
        <v>71</v>
      </c>
      <c r="E9" s="15" t="s">
        <v>33</v>
      </c>
    </row>
    <row r="10">
      <c r="A10" s="14" t="s">
        <v>80</v>
      </c>
      <c r="B10" s="12" t="s">
        <v>15</v>
      </c>
      <c r="C10" s="12" t="s">
        <v>22</v>
      </c>
      <c r="D10" s="12" t="s">
        <v>18</v>
      </c>
      <c r="E10" s="18" t="s">
        <v>49</v>
      </c>
    </row>
    <row r="11">
      <c r="A11" s="13" t="s">
        <v>29</v>
      </c>
      <c r="B11" s="19" t="s">
        <v>23</v>
      </c>
      <c r="C11" s="19" t="s">
        <v>71</v>
      </c>
      <c r="D11" s="19" t="s">
        <v>18</v>
      </c>
      <c r="E11" s="10" t="s">
        <v>36</v>
      </c>
    </row>
    <row r="12">
      <c r="A12" s="13" t="s">
        <v>98</v>
      </c>
      <c r="B12" s="19" t="s">
        <v>99</v>
      </c>
      <c r="C12" s="19" t="s">
        <v>15</v>
      </c>
      <c r="D12" s="19" t="s">
        <v>22</v>
      </c>
    </row>
    <row r="13">
      <c r="A13" s="20" t="s">
        <v>64</v>
      </c>
      <c r="B13" s="20" t="s">
        <v>71</v>
      </c>
      <c r="C13" s="15" t="s">
        <v>23</v>
      </c>
      <c r="D13" s="20" t="s">
        <v>18</v>
      </c>
    </row>
    <row r="14">
      <c r="A14" s="20" t="s">
        <v>61</v>
      </c>
      <c r="B14" s="20" t="s">
        <v>19</v>
      </c>
      <c r="C14" s="20" t="s">
        <v>73</v>
      </c>
      <c r="D14" s="20" t="s">
        <v>15</v>
      </c>
    </row>
    <row r="15">
      <c r="A15" s="21" t="s">
        <v>36</v>
      </c>
      <c r="B15" s="21" t="s">
        <v>23</v>
      </c>
      <c r="C15" s="21" t="s">
        <v>19</v>
      </c>
      <c r="D15" s="21" t="s">
        <v>15</v>
      </c>
    </row>
    <row r="16">
      <c r="A16" s="21" t="s">
        <v>38</v>
      </c>
      <c r="B16" s="21" t="s">
        <v>22</v>
      </c>
      <c r="C16" s="21" t="s">
        <v>18</v>
      </c>
      <c r="D16" s="21" t="s">
        <v>99</v>
      </c>
    </row>
    <row r="17">
      <c r="A17" s="9" t="s">
        <v>31</v>
      </c>
      <c r="B17" s="9" t="s">
        <v>18</v>
      </c>
      <c r="C17" s="9" t="s">
        <v>22</v>
      </c>
      <c r="D17" s="9" t="s">
        <v>15</v>
      </c>
    </row>
    <row r="18">
      <c r="A18" s="9" t="s">
        <v>25</v>
      </c>
      <c r="B18" s="9" t="s">
        <v>23</v>
      </c>
      <c r="C18" s="9" t="s">
        <v>19</v>
      </c>
      <c r="D18" s="9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29"/>
    <col customWidth="1" min="3" max="6" width="10.71"/>
  </cols>
  <sheetData>
    <row r="1">
      <c r="A1" s="1" t="s">
        <v>3</v>
      </c>
    </row>
    <row r="2">
      <c r="A2" s="1" t="s">
        <v>11</v>
      </c>
      <c r="B2" s="1">
        <f>COUNTIF('partidos regular'!A:A,"E*")</f>
        <v>56</v>
      </c>
    </row>
    <row r="3">
      <c r="A3" s="1" t="s">
        <v>34</v>
      </c>
      <c r="B3" s="11">
        <f>(B2/'partidos regular'!$B$1)*100</f>
        <v>52.3364486</v>
      </c>
    </row>
    <row r="4">
      <c r="A4" s="1" t="s">
        <v>63</v>
      </c>
      <c r="B4" s="1">
        <f>SUM(B6:B13)</f>
        <v>13899.02</v>
      </c>
    </row>
    <row r="5">
      <c r="A5" s="1" t="s">
        <v>70</v>
      </c>
      <c r="B5" s="11">
        <f>B4/'partidos regular'!$B$1</f>
        <v>129.8973832</v>
      </c>
    </row>
    <row r="6">
      <c r="A6" s="1" t="s">
        <v>81</v>
      </c>
      <c r="B6" s="1">
        <v>1704.78</v>
      </c>
    </row>
    <row r="7">
      <c r="A7" s="1" t="s">
        <v>82</v>
      </c>
      <c r="B7" s="1">
        <v>1814.88</v>
      </c>
    </row>
    <row r="8">
      <c r="A8" s="1" t="s">
        <v>83</v>
      </c>
      <c r="B8" s="1">
        <v>1970.04</v>
      </c>
    </row>
    <row r="9">
      <c r="A9" s="1" t="s">
        <v>84</v>
      </c>
      <c r="B9" s="1">
        <v>2047.52</v>
      </c>
    </row>
    <row r="10">
      <c r="A10" s="1" t="s">
        <v>85</v>
      </c>
      <c r="B10" s="1">
        <v>1873.52</v>
      </c>
    </row>
    <row r="11">
      <c r="A11" s="1" t="s">
        <v>87</v>
      </c>
      <c r="B11" s="1">
        <v>1812.42</v>
      </c>
    </row>
    <row r="12">
      <c r="A12" s="1" t="s">
        <v>88</v>
      </c>
      <c r="B12" s="1">
        <v>1744.1</v>
      </c>
    </row>
    <row r="13">
      <c r="A13" s="1" t="s">
        <v>89</v>
      </c>
      <c r="B13" s="16">
        <v>931.76</v>
      </c>
    </row>
    <row r="14">
      <c r="A14" s="1" t="s">
        <v>92</v>
      </c>
    </row>
    <row r="15">
      <c r="A15" s="1" t="s">
        <v>11</v>
      </c>
      <c r="B15" s="1">
        <f>COUNTIF('partidos regular'!A:A,"J*")</f>
        <v>64</v>
      </c>
    </row>
    <row r="16">
      <c r="A16" s="1" t="s">
        <v>34</v>
      </c>
      <c r="B16" s="11">
        <f>(B15/'partidos regular'!$B$1)*100</f>
        <v>59.81308411</v>
      </c>
    </row>
    <row r="17">
      <c r="A17" s="1" t="s">
        <v>63</v>
      </c>
      <c r="B17" s="1">
        <f>SUM(B19:B26)</f>
        <v>14836.82</v>
      </c>
    </row>
    <row r="18">
      <c r="A18" s="1" t="s">
        <v>70</v>
      </c>
      <c r="B18" s="11">
        <f>B17/'partidos regular'!$B$1</f>
        <v>138.6618692</v>
      </c>
    </row>
    <row r="19">
      <c r="A19" s="1" t="s">
        <v>81</v>
      </c>
      <c r="B19" s="1">
        <v>1501.6</v>
      </c>
    </row>
    <row r="20">
      <c r="A20" s="1" t="s">
        <v>82</v>
      </c>
      <c r="B20" s="1">
        <v>1769.2</v>
      </c>
    </row>
    <row r="21" ht="15.75" customHeight="1">
      <c r="A21" s="1" t="s">
        <v>83</v>
      </c>
      <c r="B21" s="1">
        <v>2237.0</v>
      </c>
    </row>
    <row r="22" ht="15.75" customHeight="1">
      <c r="A22" s="1" t="s">
        <v>84</v>
      </c>
      <c r="B22" s="1">
        <v>2036.44</v>
      </c>
    </row>
    <row r="23" ht="15.75" customHeight="1">
      <c r="A23" s="1" t="s">
        <v>85</v>
      </c>
      <c r="B23" s="1">
        <v>2083.06</v>
      </c>
    </row>
    <row r="24" ht="15.75" customHeight="1">
      <c r="A24" s="1" t="s">
        <v>87</v>
      </c>
      <c r="B24" s="1">
        <v>2223.02</v>
      </c>
    </row>
    <row r="25" ht="15.75" customHeight="1">
      <c r="A25" s="1" t="s">
        <v>88</v>
      </c>
      <c r="B25" s="1">
        <v>2216.42</v>
      </c>
    </row>
    <row r="26" ht="15.75" customHeight="1">
      <c r="A26" s="1" t="s">
        <v>89</v>
      </c>
      <c r="B26" s="16">
        <v>770.08</v>
      </c>
    </row>
    <row r="27" ht="15.75" customHeight="1">
      <c r="A27" s="1" t="s">
        <v>102</v>
      </c>
    </row>
    <row r="28" ht="15.75" customHeight="1">
      <c r="A28" s="1" t="s">
        <v>11</v>
      </c>
      <c r="B28" s="1">
        <f>COUNTIF('partidos regular'!A:A,"L*")</f>
        <v>52</v>
      </c>
    </row>
    <row r="29" ht="15.75" customHeight="1">
      <c r="A29" s="1" t="s">
        <v>34</v>
      </c>
      <c r="B29" s="11">
        <f>(B28/'partidos regular'!$B$1)*100</f>
        <v>48.59813084</v>
      </c>
    </row>
    <row r="30" ht="15.75" customHeight="1">
      <c r="A30" s="1" t="s">
        <v>63</v>
      </c>
      <c r="B30" s="1">
        <f>SUM(B32:B39)</f>
        <v>13844.92</v>
      </c>
    </row>
    <row r="31" ht="15.75" customHeight="1">
      <c r="A31" s="1" t="s">
        <v>70</v>
      </c>
      <c r="B31" s="11">
        <f>B30/'partidos regular'!$B$1</f>
        <v>129.3917757</v>
      </c>
    </row>
    <row r="32" ht="15.75" customHeight="1">
      <c r="A32" s="1" t="s">
        <v>81</v>
      </c>
      <c r="B32" s="1">
        <v>1757.1</v>
      </c>
    </row>
    <row r="33" ht="15.75" customHeight="1">
      <c r="A33" s="1" t="s">
        <v>82</v>
      </c>
      <c r="B33" s="1">
        <v>1815.4</v>
      </c>
    </row>
    <row r="34" ht="15.75" customHeight="1">
      <c r="A34" s="1" t="s">
        <v>83</v>
      </c>
      <c r="B34" s="1">
        <v>1899.86</v>
      </c>
    </row>
    <row r="35" ht="15.75" customHeight="1">
      <c r="A35" s="1" t="s">
        <v>84</v>
      </c>
      <c r="B35" s="1">
        <v>1750.04</v>
      </c>
    </row>
    <row r="36" ht="15.75" customHeight="1">
      <c r="A36" s="1" t="s">
        <v>85</v>
      </c>
      <c r="B36" s="1">
        <v>1860.94</v>
      </c>
    </row>
    <row r="37" ht="15.75" customHeight="1">
      <c r="A37" s="1" t="s">
        <v>87</v>
      </c>
      <c r="B37" s="1">
        <v>2079.48</v>
      </c>
    </row>
    <row r="38" ht="15.75" customHeight="1">
      <c r="A38" s="1" t="s">
        <v>88</v>
      </c>
      <c r="B38" s="1">
        <v>2032.1</v>
      </c>
    </row>
    <row r="39" ht="15.75" customHeight="1">
      <c r="A39" s="1" t="s">
        <v>89</v>
      </c>
      <c r="B39" s="16">
        <v>650.0</v>
      </c>
    </row>
    <row r="40" ht="15.75" customHeight="1">
      <c r="A40" s="1" t="s">
        <v>113</v>
      </c>
    </row>
    <row r="41" ht="15.75" customHeight="1">
      <c r="A41" s="1" t="s">
        <v>11</v>
      </c>
      <c r="B41" s="1">
        <f>COUNTIF('partidos regular'!A:A,"C*")</f>
        <v>46</v>
      </c>
    </row>
    <row r="42" ht="15.75" customHeight="1">
      <c r="A42" s="1" t="s">
        <v>34</v>
      </c>
      <c r="B42" s="11">
        <f>(B41/('partidos regular'!$B$1-14))*100</f>
        <v>49.46236559</v>
      </c>
    </row>
    <row r="43" ht="15.75" customHeight="1">
      <c r="A43" s="1" t="s">
        <v>63</v>
      </c>
      <c r="B43" s="1">
        <f>SUM(B45:B52)</f>
        <v>12079.4</v>
      </c>
    </row>
    <row r="44" ht="15.75" customHeight="1">
      <c r="A44" s="1" t="s">
        <v>70</v>
      </c>
      <c r="B44" s="11">
        <f>B43/('partidos regular'!$B$1-14)</f>
        <v>129.8860215</v>
      </c>
    </row>
    <row r="45" ht="15.75" customHeight="1">
      <c r="A45" s="1" t="s">
        <v>81</v>
      </c>
      <c r="B45" s="1">
        <v>0.0</v>
      </c>
    </row>
    <row r="46" ht="15.75" customHeight="1">
      <c r="A46" s="1" t="s">
        <v>82</v>
      </c>
      <c r="B46" s="1">
        <v>1662.36</v>
      </c>
    </row>
    <row r="47" ht="15.75" customHeight="1">
      <c r="A47" s="1" t="s">
        <v>83</v>
      </c>
      <c r="B47" s="1">
        <v>1787.3</v>
      </c>
    </row>
    <row r="48" ht="15.75" customHeight="1">
      <c r="A48" s="1" t="s">
        <v>84</v>
      </c>
      <c r="B48" s="1">
        <v>2000.46</v>
      </c>
    </row>
    <row r="49" ht="15.75" customHeight="1">
      <c r="A49" s="1" t="s">
        <v>85</v>
      </c>
      <c r="B49" s="1">
        <v>1903.28</v>
      </c>
    </row>
    <row r="50" ht="15.75" customHeight="1">
      <c r="A50" s="1" t="s">
        <v>87</v>
      </c>
      <c r="B50" s="1">
        <v>2131.78</v>
      </c>
    </row>
    <row r="51" ht="15.75" customHeight="1">
      <c r="A51" s="1" t="s">
        <v>88</v>
      </c>
      <c r="B51" s="1">
        <v>1754.88</v>
      </c>
    </row>
    <row r="52" ht="15.75" customHeight="1">
      <c r="A52" s="1" t="s">
        <v>89</v>
      </c>
      <c r="B52" s="16">
        <v>839.34</v>
      </c>
    </row>
    <row r="53" ht="15.75" customHeight="1">
      <c r="A53" s="1" t="s">
        <v>119</v>
      </c>
    </row>
    <row r="54" ht="15.75" customHeight="1">
      <c r="A54" s="1" t="s">
        <v>11</v>
      </c>
      <c r="B54" s="1">
        <f>COUNTIF('partidos regular'!A:A,"G*")</f>
        <v>55</v>
      </c>
    </row>
    <row r="55" ht="15.75" customHeight="1">
      <c r="A55" s="1" t="s">
        <v>34</v>
      </c>
      <c r="B55" s="11">
        <f>(B54/'partidos regular'!$B$1)*100</f>
        <v>51.40186916</v>
      </c>
    </row>
    <row r="56" ht="15.75" customHeight="1">
      <c r="A56" s="1" t="s">
        <v>63</v>
      </c>
      <c r="B56" s="1">
        <f>SUM(B58:B65)</f>
        <v>14270.84</v>
      </c>
    </row>
    <row r="57" ht="15.75" customHeight="1">
      <c r="A57" s="1" t="s">
        <v>70</v>
      </c>
      <c r="B57" s="11">
        <f>B56/'partidos regular'!$B$1</f>
        <v>133.3723364</v>
      </c>
    </row>
    <row r="58" ht="15.75" customHeight="1">
      <c r="A58" s="1" t="s">
        <v>81</v>
      </c>
      <c r="B58" s="1">
        <v>1535.92</v>
      </c>
    </row>
    <row r="59" ht="15.75" customHeight="1">
      <c r="A59" s="1" t="s">
        <v>82</v>
      </c>
      <c r="B59" s="1">
        <v>2053.06</v>
      </c>
    </row>
    <row r="60" ht="15.75" customHeight="1">
      <c r="A60" s="1" t="s">
        <v>83</v>
      </c>
      <c r="B60" s="1">
        <v>1728.92</v>
      </c>
    </row>
    <row r="61" ht="15.75" customHeight="1">
      <c r="A61" s="1" t="s">
        <v>84</v>
      </c>
      <c r="B61" s="1">
        <v>1896.22</v>
      </c>
    </row>
    <row r="62" ht="15.75" customHeight="1">
      <c r="A62" s="1" t="s">
        <v>85</v>
      </c>
      <c r="B62" s="1">
        <v>1954.92</v>
      </c>
    </row>
    <row r="63" ht="15.75" customHeight="1">
      <c r="A63" s="1" t="s">
        <v>87</v>
      </c>
      <c r="B63" s="1">
        <v>1977.7</v>
      </c>
    </row>
    <row r="64" ht="15.75" customHeight="1">
      <c r="A64" s="1" t="s">
        <v>88</v>
      </c>
      <c r="B64" s="1">
        <v>2210.3</v>
      </c>
    </row>
    <row r="65" ht="15.75" customHeight="1">
      <c r="A65" s="1" t="s">
        <v>89</v>
      </c>
      <c r="B65" s="16">
        <v>913.8</v>
      </c>
    </row>
    <row r="66" ht="15.75" customHeight="1">
      <c r="A66" s="1" t="s">
        <v>112</v>
      </c>
    </row>
    <row r="67" ht="15.75" customHeight="1">
      <c r="A67" s="1" t="s">
        <v>11</v>
      </c>
      <c r="B67" s="1">
        <f>COUNTIF('partidos regular'!A:A,"S*")</f>
        <v>53</v>
      </c>
    </row>
    <row r="68" ht="15.75" customHeight="1">
      <c r="A68" s="1" t="s">
        <v>34</v>
      </c>
      <c r="B68" s="11">
        <f>(B67/'partidos regular'!$B$1)*100</f>
        <v>49.53271028</v>
      </c>
    </row>
    <row r="69" ht="15.75" customHeight="1">
      <c r="A69" s="1" t="s">
        <v>63</v>
      </c>
      <c r="B69" s="1">
        <f>SUM(B71:B78)</f>
        <v>14275.56</v>
      </c>
    </row>
    <row r="70" ht="15.75" customHeight="1">
      <c r="A70" s="1" t="s">
        <v>70</v>
      </c>
      <c r="B70" s="11">
        <f>B69/'partidos regular'!$B$1</f>
        <v>133.4164486</v>
      </c>
    </row>
    <row r="71" ht="15.75" customHeight="1">
      <c r="A71" s="1" t="s">
        <v>81</v>
      </c>
      <c r="B71" s="1">
        <v>1499.98</v>
      </c>
    </row>
    <row r="72" ht="15.75" customHeight="1">
      <c r="A72" s="1" t="s">
        <v>82</v>
      </c>
      <c r="B72" s="1">
        <v>1784.3</v>
      </c>
    </row>
    <row r="73" ht="15.75" customHeight="1">
      <c r="A73" s="1" t="s">
        <v>83</v>
      </c>
      <c r="B73" s="1">
        <v>1937.3</v>
      </c>
    </row>
    <row r="74" ht="15.75" customHeight="1">
      <c r="A74" s="1" t="s">
        <v>84</v>
      </c>
      <c r="B74" s="1">
        <v>2087.1</v>
      </c>
    </row>
    <row r="75" ht="15.75" customHeight="1">
      <c r="A75" s="1" t="s">
        <v>85</v>
      </c>
      <c r="B75" s="1">
        <v>2164.12</v>
      </c>
    </row>
    <row r="76" ht="15.75" customHeight="1">
      <c r="A76" s="1" t="s">
        <v>87</v>
      </c>
      <c r="B76" s="1">
        <v>2024.0</v>
      </c>
    </row>
    <row r="77" ht="15.75" customHeight="1">
      <c r="A77" s="1" t="s">
        <v>88</v>
      </c>
      <c r="B77" s="1">
        <v>1969.08</v>
      </c>
    </row>
    <row r="78" ht="15.75" customHeight="1">
      <c r="A78" s="1" t="s">
        <v>89</v>
      </c>
      <c r="B78" s="16">
        <v>809.68</v>
      </c>
    </row>
    <row r="79" ht="15.75" customHeight="1">
      <c r="A79" s="1" t="s">
        <v>122</v>
      </c>
    </row>
    <row r="80" ht="15.75" customHeight="1">
      <c r="A80" s="1" t="s">
        <v>11</v>
      </c>
      <c r="B80" s="1">
        <f>COUNTIF('partidos regular'!A:A,"N*")</f>
        <v>51</v>
      </c>
    </row>
    <row r="81" ht="15.75" customHeight="1">
      <c r="A81" s="1" t="s">
        <v>34</v>
      </c>
      <c r="B81" s="11">
        <f>(B80/'partidos regular'!$B$1)*100</f>
        <v>47.6635514</v>
      </c>
    </row>
    <row r="82" ht="15.75" customHeight="1">
      <c r="A82" s="1" t="s">
        <v>63</v>
      </c>
      <c r="B82" s="1">
        <f>SUM(B84:B91)</f>
        <v>14290.86</v>
      </c>
    </row>
    <row r="83" ht="15.75" customHeight="1">
      <c r="A83" s="1" t="s">
        <v>70</v>
      </c>
      <c r="B83" s="11">
        <f>B82/'partidos regular'!$B$1</f>
        <v>133.5594393</v>
      </c>
    </row>
    <row r="84" ht="15.75" customHeight="1">
      <c r="A84" s="1" t="s">
        <v>81</v>
      </c>
      <c r="B84" s="1">
        <v>1623.6</v>
      </c>
    </row>
    <row r="85" ht="15.75" customHeight="1">
      <c r="A85" s="1" t="s">
        <v>82</v>
      </c>
      <c r="B85" s="1">
        <v>1888.78</v>
      </c>
    </row>
    <row r="86" ht="15.75" customHeight="1">
      <c r="A86" s="1" t="s">
        <v>83</v>
      </c>
      <c r="B86" s="1">
        <v>1828.58</v>
      </c>
    </row>
    <row r="87" ht="15.75" customHeight="1">
      <c r="A87" s="1" t="s">
        <v>84</v>
      </c>
      <c r="B87" s="1">
        <v>2079.98</v>
      </c>
    </row>
    <row r="88" ht="15.75" customHeight="1">
      <c r="A88" s="1" t="s">
        <v>85</v>
      </c>
      <c r="B88" s="1">
        <v>2116.6</v>
      </c>
    </row>
    <row r="89" ht="15.75" customHeight="1">
      <c r="A89" s="1" t="s">
        <v>87</v>
      </c>
      <c r="B89" s="1">
        <v>1995.82</v>
      </c>
    </row>
    <row r="90" ht="15.75" customHeight="1">
      <c r="A90" s="1" t="s">
        <v>88</v>
      </c>
      <c r="B90" s="1">
        <v>1962.18</v>
      </c>
    </row>
    <row r="91" ht="15.75" customHeight="1">
      <c r="A91" s="1" t="s">
        <v>89</v>
      </c>
      <c r="B91" s="16">
        <v>795.32</v>
      </c>
    </row>
    <row r="92" ht="15.75" customHeight="1">
      <c r="A92" s="1" t="s">
        <v>1</v>
      </c>
    </row>
    <row r="93" ht="15.75" customHeight="1">
      <c r="A93" s="1" t="s">
        <v>11</v>
      </c>
      <c r="B93" s="1">
        <f>COUNTIF('partidos regular'!A:A,"K*")</f>
        <v>34</v>
      </c>
    </row>
    <row r="94" ht="15.75" customHeight="1">
      <c r="A94" s="1" t="s">
        <v>34</v>
      </c>
      <c r="B94" s="11">
        <f>(B93/('partidos regular'!$B$1-43))*100</f>
        <v>53.125</v>
      </c>
    </row>
    <row r="95" ht="15.75" customHeight="1">
      <c r="A95" s="1" t="s">
        <v>63</v>
      </c>
      <c r="B95" s="1">
        <f>SUM(B97:B104)</f>
        <v>7685.06</v>
      </c>
    </row>
    <row r="96" ht="15.75" customHeight="1">
      <c r="A96" s="1" t="s">
        <v>70</v>
      </c>
      <c r="B96" s="11">
        <f>B95/('partidos regular'!$B$1-43)</f>
        <v>120.0790625</v>
      </c>
    </row>
    <row r="97" ht="15.75" customHeight="1">
      <c r="A97" s="1" t="s">
        <v>81</v>
      </c>
      <c r="B97" s="1">
        <v>0.0</v>
      </c>
    </row>
    <row r="98" ht="15.75" customHeight="1">
      <c r="A98" s="1" t="s">
        <v>82</v>
      </c>
      <c r="B98" s="1">
        <v>0.0</v>
      </c>
    </row>
    <row r="99" ht="15.75" customHeight="1">
      <c r="A99" s="1" t="s">
        <v>83</v>
      </c>
      <c r="B99" s="1">
        <v>0.0</v>
      </c>
    </row>
    <row r="100" ht="15.75" customHeight="1">
      <c r="A100" s="1" t="s">
        <v>84</v>
      </c>
      <c r="B100" s="1">
        <v>2024.0</v>
      </c>
    </row>
    <row r="101" ht="15.75" customHeight="1">
      <c r="A101" s="1" t="s">
        <v>85</v>
      </c>
      <c r="B101" s="1">
        <v>1915.14</v>
      </c>
    </row>
    <row r="102" ht="15.75" customHeight="1">
      <c r="A102" s="1" t="s">
        <v>87</v>
      </c>
      <c r="B102" s="1">
        <v>1993.7</v>
      </c>
    </row>
    <row r="103" ht="15.75" customHeight="1">
      <c r="A103" s="1" t="s">
        <v>88</v>
      </c>
      <c r="B103" s="1">
        <v>1752.22</v>
      </c>
    </row>
    <row r="104" ht="15.75" customHeight="1">
      <c r="A104" s="1" t="s">
        <v>89</v>
      </c>
      <c r="B104" s="16" t="s">
        <v>125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6" width="10.71"/>
  </cols>
  <sheetData>
    <row r="2">
      <c r="A2" s="1" t="s">
        <v>1</v>
      </c>
      <c r="B2" s="11">
        <f>(stats!$B$93*10+COUNTIF(playoffs!E:E,"*K*")*10+COUNTIF(playoffs!B:B,"K")*25+COUNTIF(playoffs!C:C,"K")*20+COUNTIF(playoffs!E:E,"K*")*30+(stats!$B$95/250)-COUNTIF(playoffs!D:D,"K")*15)/('partidos regular'!$B$1-43)</f>
        <v>5.87094125</v>
      </c>
    </row>
    <row r="3">
      <c r="A3" s="1" t="s">
        <v>3</v>
      </c>
      <c r="B3" s="11">
        <f>(stats!$B$2*10+COUNTIF(playoffs!E:E,"*E*")*10+COUNTIF(playoffs!B:B,"E")*25+COUNTIF(playoffs!C:C,"E")*20+COUNTIF(playoffs!E:E,"E*")*30+(stats!$B$4/250)-COUNTIF(playoffs!D:D,"E")*15)/('partidos regular'!$B$1)</f>
        <v>6.594355888</v>
      </c>
    </row>
    <row r="4">
      <c r="A4" s="1" t="s">
        <v>92</v>
      </c>
      <c r="B4" s="11">
        <f>(stats!$B$15*10+COUNTIF(playoffs!E:E,"*J*")*10+COUNTIF(playoffs!B:B,"J")*25+COUNTIF(playoffs!C:C,"J")*20+COUNTIF(playoffs!E:E,"J*")*30+(stats!B17/250)-COUNTIF(playoffs!D:D,"J")*15)/('partidos regular'!$B$1)</f>
        <v>8.638759626</v>
      </c>
    </row>
    <row r="5">
      <c r="A5" s="1" t="s">
        <v>102</v>
      </c>
      <c r="B5" s="11">
        <f>(stats!$B$28*10+COUNTIF(playoffs!E:E,"*L*")*10+COUNTIF(playoffs!B:B,"L")*25+COUNTIF(playoffs!C:C,"L")*20+COUNTIF(playoffs!E:E,"L*")*30+(stats!$B$30/250)-COUNTIF(playoffs!D:D,"L")*15)/('partidos regular'!$B$1)</f>
        <v>6.919436262</v>
      </c>
    </row>
    <row r="6">
      <c r="A6" s="1" t="s">
        <v>112</v>
      </c>
      <c r="B6" s="11">
        <f>(stats!$B$67*10+COUNTIF(playoffs!E:E,"*S*")*10+COUNTIF(playoffs!B:B,"S")*25+COUNTIF(playoffs!C:C,"S")*20+COUNTIF(playoffs!E:E,"S*")*30+(stats!B69/250)-COUNTIF(playoffs!D:D,"S")*15)/('partidos regular'!$B$1)</f>
        <v>6.37478729</v>
      </c>
    </row>
    <row r="7">
      <c r="A7" s="1" t="s">
        <v>117</v>
      </c>
      <c r="B7" s="11">
        <f>(stats!$B$80*10+COUNTIF(playoffs!E:E,"*N*")*10+COUNTIF(playoffs!B:B,"N")*25+COUNTIF(playoffs!C:C,"N")*20+COUNTIF(playoffs!E:E,"N*")*30+(stats!B82/250)-COUNTIF(playoffs!D:D,"N")*15)/('partidos regular'!$B$1)</f>
        <v>5.861340561</v>
      </c>
    </row>
    <row r="8">
      <c r="A8" s="1" t="s">
        <v>119</v>
      </c>
      <c r="B8" s="11">
        <f>(stats!$B$54*10+COUNTIF(playoffs!E:E,"*G*")*10+COUNTIF(playoffs!B:B,"G")*25+COUNTIF(playoffs!C:C,"G")*20+COUNTIF(playoffs!E:E,"G*")*30+(stats!B56/250)-COUNTIF(playoffs!D:D,"G")*15)/('partidos regular'!$B$1)</f>
        <v>6.561526729</v>
      </c>
    </row>
    <row r="9">
      <c r="A9" s="1" t="s">
        <v>113</v>
      </c>
      <c r="B9" s="11">
        <f>(stats!$B$41*10+COUNTIF(playoffs!E:E,"*C*")*10+COUNTIF(playoffs!B:B,"C")*25+COUNTIF(playoffs!C:C,"C")*20+COUNTIF(playoffs!E:E,"C*")*30+(stats!B43/250)-COUNTIF(playoffs!D:D,"C")*15)/(('partidos regular'!$B$1)-14)</f>
        <v>5.519544086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1" t="s">
        <v>3</v>
      </c>
    </row>
    <row r="2">
      <c r="A2" s="1" t="s">
        <v>126</v>
      </c>
      <c r="B2" s="1" t="str">
        <f> COUNTIF('partidos regular'!A:A,"EG")+COUNTIF(playoffs!A:A,"EG")+COUNTIF(playoffs!E:E,"EG")&amp;"-"&amp;COUNTIF('partidos regular'!A:A,"GE")+COUNTIF(playoffs!A:A,"GE")+COUNTIF(playoffs!E:E,"GE")&amp;" ("&amp;COUNTIF(playoffs!A:A,"EG")+COUNTIF(playoffs!E:E,"EG")&amp;"-"&amp;COUNTIF(playoffs!A:A,"GE")+COUNTIF(playoffs!E:E,"GE")&amp;")"</f>
        <v>9-6 (0-0)</v>
      </c>
    </row>
    <row r="3">
      <c r="A3" s="1" t="s">
        <v>127</v>
      </c>
      <c r="B3" s="1" t="str">
        <f> COUNTIF('partidos regular'!A:A,"ES")+COUNTIF(playoffs!A:A,"ES")+COUNTIF(playoffs!E:E,"ES")&amp;"-"&amp;COUNTIF('partidos regular'!A:A,"SE")+COUNTIF(playoffs!A:A,"SE")+COUNTIF(playoffs!E:E,"SE")&amp;" ("&amp;COUNTIF(playoffs!A:A,"ES")+COUNTIF(playoffs!E:E,"ES")&amp;"-"&amp;COUNTIF(playoffs!A:A,"SE")+COUNTIF(playoffs!E:E,"SE")&amp;")"</f>
        <v>6-9 (0-1)</v>
      </c>
    </row>
    <row r="4">
      <c r="A4" s="1" t="s">
        <v>128</v>
      </c>
      <c r="B4" s="1" t="str">
        <f> COUNTIF('partidos regular'!A:A,"EN")+COUNTIF(playoffs!A:A,"EN")+COUNTIF(playoffs!E:E,"EN")&amp;"-"&amp;COUNTIF('partidos regular'!A:A,"NE")+COUNTIF(playoffs!A:A,"NE")+COUNTIF(playoffs!E:E,"GE")&amp;" ("&amp;COUNTIF(playoffs!A:A,"EN")+COUNTIF(playoffs!E:E,"EN")&amp;"-"&amp;COUNTIF(playoffs!A:A,"NE")+COUNTIF(playoffs!E:E,"NE")&amp;")"</f>
        <v>9-6 (0-0)</v>
      </c>
    </row>
    <row r="5">
      <c r="A5" s="1" t="s">
        <v>129</v>
      </c>
      <c r="B5" s="1" t="str">
        <f> COUNTIF('partidos regular'!A:A,"EL")+COUNTIF(playoffs!A:A,"EL")+COUNTIF(playoffs!E:E,"EL")&amp;"-"&amp;COUNTIF('partidos regular'!A:A,"LE")+COUNTIF(playoffs!A:A,"LE")+COUNTIF(playoffs!E:E,"LE")&amp;" ("&amp;COUNTIF(playoffs!A:A,"EL")+COUNTIF(playoffs!E:E,"EL")&amp;"-"&amp;COUNTIF(playoffs!A:A,"LE")+COUNTIF(playoffs!E:E,"LE")&amp;")"</f>
        <v>9-6 (0-0)</v>
      </c>
    </row>
    <row r="6">
      <c r="A6" s="1" t="s">
        <v>130</v>
      </c>
      <c r="B6" s="1" t="str">
        <f> COUNTIF('partidos regular'!A:A,"EC")+COUNTIF(playoffs!A:A,"EC")+COUNTIF(playoffs!E:E,"EC")&amp;"-"&amp;COUNTIF('partidos regular'!A:A,"CE")+COUNTIF(playoffs!A:A,"CE")+COUNTIF(playoffs!E:E,"CE")&amp;" ("&amp;COUNTIF(playoffs!A:A,"EC")+COUNTIF(playoffs!E:E,"EC")&amp;"-"&amp;COUNTIF(playoffs!A:A,"CE")+COUNTIF(playoffs!E:E,"CE")&amp;")"</f>
        <v>5-9 (0-0)</v>
      </c>
    </row>
    <row r="7">
      <c r="A7" s="1" t="s">
        <v>131</v>
      </c>
      <c r="B7" s="1" t="str">
        <f> COUNTIF('partidos regular'!A:A,"EK")+COUNTIF(playoffs!A:A,"EK")+COUNTIF(playoffs!E:E,"EK")&amp;"-"&amp;COUNTIF('partidos regular'!A:A,"KE")+COUNTIF(playoffs!A:A,"KE")+COUNTIF(playoffs!E:E,"KE")&amp;" ("&amp;COUNTIF(playoffs!A:A,"EK")+COUNTIF(playoffs!E:E,"EK")&amp;"-"&amp;COUNTIF(playoffs!A:A,"KE")+COUNTIF(playoffs!E:E,"KE")&amp;")"</f>
        <v>5-8 (1-0)</v>
      </c>
    </row>
    <row r="8">
      <c r="A8" s="1" t="s">
        <v>132</v>
      </c>
      <c r="B8" s="1" t="str">
        <f> COUNTIF('partidos regular'!A:A,"EJ")+COUNTIF(playoffs!A:A,"EJ")+COUNTIF(playoffs!E:E,"EJ")&amp;"-"&amp;COUNTIF('partidos regular'!A:A,"JE")+COUNTIF(playoffs!A:A,"JE")+COUNTIF(playoffs!E:E,"JE")&amp;" ("&amp;COUNTIF(playoffs!A:A,"EJ")+COUNTIF(playoffs!E:E,"EJ")&amp;"-"&amp;COUNTIF(playoffs!A:A,"JE")+COUNTIF(playoffs!E:E,"JE")&amp;")"</f>
        <v>9-8 (1-1)</v>
      </c>
    </row>
    <row r="9">
      <c r="A9" s="1" t="s">
        <v>133</v>
      </c>
    </row>
    <row r="10">
      <c r="A10" s="1" t="s">
        <v>133</v>
      </c>
    </row>
    <row r="11">
      <c r="A11" s="1" t="s">
        <v>119</v>
      </c>
    </row>
    <row r="12">
      <c r="A12" s="1" t="s">
        <v>134</v>
      </c>
      <c r="B12" s="1" t="str">
        <f> COUNTIF('partidos regular'!A:A,"GE")+COUNTIF(playoffs!A:A,"GE")+COUNTIF(playoffs!E:E,"GE")&amp;"-"&amp;COUNTIF('partidos regular'!A:A,"EG")+COUNTIF(playoffs!A:A,"EG")+COUNTIF(playoffs!E:E,"EG")&amp;" ("&amp;COUNTIF(playoffs!A:A,"GE")+COUNTIF(playoffs!E:E,"GE")&amp;"-"&amp;COUNTIF(playoffs!A:A,"EG")+COUNTIF(playoffs!E:E,"EG")&amp;")"</f>
        <v>6-9 (0-0)</v>
      </c>
    </row>
    <row r="13">
      <c r="A13" s="1" t="s">
        <v>135</v>
      </c>
      <c r="B13" s="1" t="str">
        <f> COUNTIF('partidos regular'!A:A,"GS")+COUNTIF(playoffs!A:A,"GS")+COUNTIF(playoffs!E:E,"GS")&amp;"-"&amp;COUNTIF('partidos regular'!A:A,"SG")+COUNTIF(playoffs!A:A,"SG")+COUNTIF(playoffs!E:E,"SG")&amp;" ("&amp;COUNTIF(playoffs!A:A,"GS")+COUNTIF(playoffs!E:E,"GS")&amp;"-"&amp;COUNTIF(playoffs!A:A,"SG")+COUNTIF(playoffs!E:E,"SG")&amp;")"</f>
        <v>10-6 (1-0)</v>
      </c>
    </row>
    <row r="14">
      <c r="A14" s="1" t="s">
        <v>136</v>
      </c>
      <c r="B14" s="1" t="str">
        <f> COUNTIF('partidos regular'!A:A,"GN")+COUNTIF(playoffs!A:A,"GN")+COUNTIF(playoffs!E:E,"GN")&amp;"-"&amp;COUNTIF('partidos regular'!A:A,"NG")+COUNTIF(playoffs!A:A,"NG")+COUNTIF(playoffs!E:E,"NG")&amp;" ("&amp;COUNTIF(playoffs!A:A,"GN")+COUNTIF(playoffs!E:E,"GN")&amp;"-"&amp;COUNTIF(playoffs!A:A,"NG")+COUNTIF(playoffs!E:E,"NG")&amp;")"</f>
        <v>10-11 (1-0)</v>
      </c>
    </row>
    <row r="15">
      <c r="A15" s="1" t="s">
        <v>137</v>
      </c>
      <c r="B15" s="1" t="str">
        <f> COUNTIF('partidos regular'!A:A,"GL")+COUNTIF(playoffs!A:A,"GL")+COUNTIF(playoffs!E:E,"GL")&amp;"-"&amp;COUNTIF('partidos regular'!A:A,"LG")+COUNTIF(playoffs!A:A,"LG")+COUNTIF(playoffs!E:E,"LG")&amp;" ("&amp;COUNTIF(playoffs!A:A,"GL")+COUNTIF(playoffs!E:E,"GL")&amp;"-"&amp;COUNTIF(playoffs!A:A,"LG")+COUNTIF(playoffs!E:E,"LG")&amp;")"</f>
        <v>10-6 (0-1)</v>
      </c>
    </row>
    <row r="16">
      <c r="A16" s="1" t="s">
        <v>138</v>
      </c>
      <c r="B16" s="1" t="str">
        <f> COUNTIF('partidos regular'!A:A,"GC")+COUNTIF(playoffs!A:A,"GC")+COUNTIF(playoffs!E:E,"GC")&amp;"-"&amp;COUNTIF('partidos regular'!A:A,"CG")+COUNTIF(playoffs!A:A,"CG")+COUNTIF(playoffs!E:E,"CG")&amp;" ("&amp;COUNTIF(playoffs!A:A,"GC")+COUNTIF(playoffs!E:E,"GC")&amp;"-"&amp;COUNTIF(playoffs!A:A,"CG")+COUNTIF(playoffs!E:E,"CG")&amp;")"</f>
        <v>5-7 (0-0)</v>
      </c>
    </row>
    <row r="17">
      <c r="A17" s="1" t="s">
        <v>139</v>
      </c>
      <c r="B17" s="1" t="str">
        <f> COUNTIF('partidos regular'!A:A,"GK")+COUNTIF(playoffs!A:A,"GK")+COUNTIF(playoffs!E:E,"GK")&amp;"-"&amp;COUNTIF('partidos regular'!A:A,"KG")+COUNTIF(playoffs!A:A,"KG")+COUNTIF(playoffs!E:E,"KG")&amp;" ("&amp;COUNTIF(playoffs!A:A,"GK")+COUNTIF(playoffs!E:E,"GK")&amp;"-"&amp;COUNTIF(playoffs!A:A,"KG")+COUNTIF(playoffs!E:E,"KG")&amp;")"</f>
        <v>7-2 (0-0)</v>
      </c>
    </row>
    <row r="18">
      <c r="A18" s="1" t="s">
        <v>140</v>
      </c>
      <c r="B18" s="1" t="str">
        <f> COUNTIF('partidos regular'!A:A,"GJ")+COUNTIF(playoffs!A:A,"GJ")+COUNTIF(playoffs!E:E,"GJ")&amp;"-"&amp;COUNTIF('partidos regular'!A:A,"JG")+COUNTIF(playoffs!A:A,"JG")+COUNTIF(playoffs!E:E,"JG")&amp;" ("&amp;COUNTIF(playoffs!A:A,"GJ")+COUNTIF(playoffs!E:E,"GJ")&amp;"-"&amp;COUNTIF(playoffs!A:A,"JG")+COUNTIF(playoffs!E:E,"JG")&amp;")"</f>
        <v>5-13 (1-2)</v>
      </c>
    </row>
    <row r="19">
      <c r="A19" s="1" t="s">
        <v>133</v>
      </c>
    </row>
    <row r="20">
      <c r="A20" s="1" t="s">
        <v>133</v>
      </c>
    </row>
    <row r="21" ht="15.75" customHeight="1">
      <c r="A21" s="1" t="s">
        <v>112</v>
      </c>
    </row>
    <row r="22" ht="15.75" customHeight="1">
      <c r="A22" s="1" t="s">
        <v>141</v>
      </c>
      <c r="B22" s="1" t="str">
        <f> COUNTIF('partidos regular'!A:A,"SE")+COUNTIF(playoffs!A:A,"SE")+COUNTIF(playoffs!E:E,"SE")&amp;"-"&amp;COUNTIF('partidos regular'!A:A,"ES")+COUNTIF(playoffs!A:A,"ES")+COUNTIF(playoffs!E:E,"ES")&amp;" ("&amp;COUNTIF(playoffs!A:A,"SE")+COUNTIF(playoffs!E:E,"SE")&amp;"-"&amp;COUNTIF(playoffs!A:A,"ES")+COUNTIF(playoffs!E:E,"ES")&amp;")"</f>
        <v>9-6 (1-0)</v>
      </c>
    </row>
    <row r="23" ht="15.75" customHeight="1">
      <c r="A23" s="1" t="s">
        <v>142</v>
      </c>
      <c r="B23" s="1" t="str">
        <f> COUNTIF('partidos regular'!A:A,"SG")+COUNTIF(playoffs!A:A,"SG")+COUNTIF(playoffs!E:E,"SG")&amp;"-"&amp;COUNTIF('partidos regular'!A:A,"GS")+COUNTIF(playoffs!A:A,"GS")+COUNTIF(playoffs!E:E,"GS")&amp;" ("&amp;COUNTIF(playoffs!A:A,"SG")+COUNTIF(playoffs!E:E,"SG")&amp;"-"&amp;COUNTIF(playoffs!A:A,"GS")+COUNTIF(playoffs!E:E,"GS")&amp;")"</f>
        <v>6-10 (0-1)</v>
      </c>
    </row>
    <row r="24" ht="15.75" customHeight="1">
      <c r="A24" s="1" t="s">
        <v>143</v>
      </c>
      <c r="B24" s="1" t="str">
        <f> COUNTIF('partidos regular'!A:A,"SN")+COUNTIF(playoffs!A:A,"SN")+COUNTIF(playoffs!E:E,"SN")&amp;"-"&amp;COUNTIF('partidos regular'!A:A,"NS")+COUNTIF(playoffs!A:A,"NS")+COUNTIF(playoffs!E:E,"NS")&amp;" ("&amp;COUNTIF(playoffs!A:A,"SN")+COUNTIF(playoffs!E:E,"SN")&amp;"-"&amp;COUNTIF(playoffs!A:A,"NS")+COUNTIF(playoffs!E:E,"NS")&amp;")"</f>
        <v>6-9 (0-0)</v>
      </c>
    </row>
    <row r="25" ht="15.75" customHeight="1">
      <c r="A25" s="1" t="s">
        <v>144</v>
      </c>
      <c r="B25" s="1" t="str">
        <f> COUNTIF('partidos regular'!A:A,"SL")+COUNTIF(playoffs!A:A,"SL")+COUNTIF(playoffs!E:E,"SL")&amp;"-"&amp;COUNTIF('partidos regular'!A:A,"LS")+COUNTIF(playoffs!A:A,"LS")+COUNTIF(playoffs!E:E,"LS")&amp;" ("&amp;COUNTIF(playoffs!A:A,"SL")+COUNTIF(playoffs!E:E,"SL")&amp;"-"&amp;COUNTIF(playoffs!A:A,"LS")+COUNTIF(playoffs!E:E,"LS")&amp;")"</f>
        <v>9-9 (1-1)</v>
      </c>
    </row>
    <row r="26" ht="15.75" customHeight="1">
      <c r="A26" s="1" t="s">
        <v>145</v>
      </c>
      <c r="B26" s="1" t="str">
        <f> COUNTIF('partidos regular'!A:A,"SC")+COUNTIF(playoffs!A:A,"SC")+COUNTIF(playoffs!E:E,"SC")&amp;"-"&amp;COUNTIF('partidos regular'!A:A,"CS")+COUNTIF(playoffs!A:A,"CS")+COUNTIF(playoffs!E:E,"CS")&amp;" ("&amp;COUNTIF(playoffs!A:A,"SC")+COUNTIF(playoffs!E:E,"SC")&amp;"-"&amp;COUNTIF(playoffs!A:A,"CS")+COUNTIF(playoffs!E:E,"CS")&amp;")"</f>
        <v>7-6 (0-0)</v>
      </c>
    </row>
    <row r="27" ht="15.75" customHeight="1">
      <c r="A27" s="1" t="s">
        <v>146</v>
      </c>
      <c r="B27" s="1" t="str">
        <f> COUNTIF('partidos regular'!A:A,"SK")+COUNTIF(playoffs!A:A,"SK")+COUNTIF(playoffs!E:E,"SK")&amp;"-"&amp;COUNTIF('partidos regular'!A:A,"KS")+COUNTIF(playoffs!A:A,"KS")+COUNTIF(playoffs!E:E,"KS")&amp;" ("&amp;COUNTIF(playoffs!A:A,"SK")+COUNTIF(playoffs!E:E,"SK")&amp;"-"&amp;COUNTIF(playoffs!A:A,"KS")+COUNTIF(playoffs!E:E,"KS")&amp;")"</f>
        <v>5-4 (0-0)</v>
      </c>
    </row>
    <row r="28" ht="15.75" customHeight="1">
      <c r="A28" s="1" t="s">
        <v>147</v>
      </c>
      <c r="B28" s="1" t="str">
        <f> COUNTIF('partidos regular'!A:A,"SJ")+COUNTIF(playoffs!A:A,"SJ")+COUNTIF(playoffs!E:E,"SJ")&amp;"-"&amp;COUNTIF('partidos regular'!A:A,"JS")+COUNTIF(playoffs!A:A,"JS")+COUNTIF(playoffs!E:E,"JS")&amp;" ("&amp;COUNTIF(playoffs!A:A,"SJ")+COUNTIF(playoffs!E:E,"SJ")&amp;"-"&amp;COUNTIF(playoffs!A:A,"JS")+COUNTIF(playoffs!E:E,"JS")&amp;")"</f>
        <v>9-11 (0-1)</v>
      </c>
    </row>
    <row r="29" ht="15.75" customHeight="1">
      <c r="A29" s="1" t="s">
        <v>133</v>
      </c>
    </row>
    <row r="30" ht="15.75" customHeight="1">
      <c r="A30" s="1" t="s">
        <v>133</v>
      </c>
    </row>
    <row r="31" ht="15.75" customHeight="1">
      <c r="A31" s="1" t="s">
        <v>117</v>
      </c>
    </row>
    <row r="32" ht="15.75" customHeight="1">
      <c r="A32" s="1" t="s">
        <v>148</v>
      </c>
      <c r="B32" s="1" t="str">
        <f> COUNTIF('partidos regular'!A:A,"NE")+COUNTIF(playoffs!A:A,"NE")+COUNTIF(playoffs!E:E,"NE")&amp;"-"&amp;COUNTIF('partidos regular'!A:A,"EN")+COUNTIF(playoffs!A:A,"EN")+COUNTIF(playoffs!E:E,"EN")&amp;" ("&amp;COUNTIF(playoffs!A:A,"NE")+COUNTIF(playoffs!E:E,"NE")&amp;"-"&amp;COUNTIF(playoffs!A:A,"EN")+COUNTIF(playoffs!E:E,"EN")&amp;")"</f>
        <v>6-9 (0-0)</v>
      </c>
    </row>
    <row r="33" ht="15.75" customHeight="1">
      <c r="A33" s="1" t="s">
        <v>149</v>
      </c>
      <c r="B33" s="1" t="str">
        <f> COUNTIF('partidos regular'!A:A,"NG")+COUNTIF(playoffs!A:A,"NG")+COUNTIF(playoffs!E:E,"NG")&amp;"-"&amp;COUNTIF('partidos regular'!A:A,"GN")+COUNTIF(playoffs!A:A,"GN")+COUNTIF(playoffs!E:E,"GN")&amp;" ("&amp;COUNTIF(playoffs!A:A,"NG")+COUNTIF(playoffs!E:E,"NG")&amp;"-"&amp;COUNTIF(playoffs!A:A,"GN")+COUNTIF(playoffs!E:E,"GN")&amp;")"</f>
        <v>11-10 (0-1)</v>
      </c>
    </row>
    <row r="34" ht="15.75" customHeight="1">
      <c r="A34" s="1" t="s">
        <v>150</v>
      </c>
      <c r="B34" s="1" t="str">
        <f> COUNTIF('partidos regular'!A:A,"NS")+COUNTIF(playoffs!A:A,"NS")+COUNTIF(playoffs!E:E,"NS")&amp;"-"&amp;COUNTIF('partidos regular'!A:A,"SN")+COUNTIF(playoffs!A:A,"SN")+COUNTIF(playoffs!E:E,"SN")&amp;" ("&amp;COUNTIF(playoffs!A:A,"NS")+COUNTIF(playoffs!E:E,"NS")&amp;"-"&amp;COUNTIF(playoffs!A:A,"SN")+COUNTIF(playoffs!E:E,"SN")&amp;")"</f>
        <v>9-6 (0-0)</v>
      </c>
    </row>
    <row r="35" ht="15.75" customHeight="1">
      <c r="A35" s="1" t="s">
        <v>151</v>
      </c>
      <c r="B35" s="1" t="str">
        <f> COUNTIF('partidos regular'!A:A,"NL")+COUNTIF(playoffs!A:A,"NL")+COUNTIF(playoffs!E:E,"NL")&amp;"-"&amp;COUNTIF('partidos regular'!A:A,"LN")+COUNTIF(playoffs!A:A,"LN")+COUNTIF(playoffs!E:E,"LN")&amp;" ("&amp;COUNTIF(playoffs!A:A,"NL")+COUNTIF(playoffs!E:E,"NL")&amp;"-"&amp;COUNTIF(playoffs!A:A,"LN")+COUNTIF(playoffs!E:E,"LN")&amp;")"</f>
        <v>3-11 (0-0)</v>
      </c>
    </row>
    <row r="36" ht="15.75" customHeight="1">
      <c r="A36" s="1" t="s">
        <v>152</v>
      </c>
      <c r="B36" s="1" t="str">
        <f> COUNTIF('partidos regular'!A:A,"NC")+COUNTIF(playoffs!A:A,"NC")+COUNTIF(playoffs!E:E,"NC")&amp;"-"&amp;COUNTIF('partidos regular'!A:A,"CN")+COUNTIF(playoffs!A:A,"CN")+COUNTIF(playoffs!E:E,"CN")&amp;" ("&amp;COUNTIF(playoffs!A:A,"NC")+COUNTIF(playoffs!E:E,"NC")&amp;"-"&amp;COUNTIF(playoffs!A:A,"CN")+COUNTIF(playoffs!E:E,"CN")&amp;")"</f>
        <v>8-6 (1-0)</v>
      </c>
    </row>
    <row r="37" ht="15.75" customHeight="1">
      <c r="A37" s="1" t="s">
        <v>153</v>
      </c>
      <c r="B37" s="1" t="str">
        <f> COUNTIF('partidos regular'!A:A,"NK")+COUNTIF(playoffs!A:A,"NK")+COUNTIF(playoffs!E:E,"NK")&amp;"-"&amp;COUNTIF('partidos regular'!A:A,"KN")+COUNTIF(playoffs!A:A,"KN")+COUNTIF(playoffs!E:E,"KN")&amp;" ("&amp;COUNTIF(playoffs!A:A,"NK")+COUNTIF(playoffs!E:E,"NK")&amp;"-"&amp;COUNTIF(playoffs!A:A,"KN")+COUNTIF(playoffs!E:E,"KN")&amp;")"</f>
        <v>3-6 (0-1)</v>
      </c>
    </row>
    <row r="38" ht="15.75" customHeight="1">
      <c r="A38" s="1" t="s">
        <v>154</v>
      </c>
      <c r="B38" s="1" t="str">
        <f> COUNTIF('partidos regular'!A:A,"NJ")+COUNTIF(playoffs!A:A,"NJ")+COUNTIF(playoffs!E:E,"NJ")&amp;"-"&amp;COUNTIF('partidos regular'!A:A,"JN")+COUNTIF(playoffs!A:A,"JN")+COUNTIF(playoffs!E:E,"JN")&amp;" ("&amp;COUNTIF(playoffs!A:A,"NJ")+COUNTIF(playoffs!E:E,"NJ")&amp;"-"&amp;COUNTIF(playoffs!A:A,"JN")+COUNTIF(playoffs!E:E,"JN")&amp;")"</f>
        <v>8-8 (0-1)</v>
      </c>
    </row>
    <row r="39" ht="15.75" customHeight="1">
      <c r="A39" s="1" t="s">
        <v>133</v>
      </c>
    </row>
    <row r="40" ht="15.75" customHeight="1">
      <c r="A40" s="1" t="s">
        <v>133</v>
      </c>
    </row>
    <row r="41" ht="15.75" customHeight="1">
      <c r="A41" s="1" t="s">
        <v>102</v>
      </c>
    </row>
    <row r="42" ht="15.75" customHeight="1">
      <c r="A42" s="1" t="s">
        <v>155</v>
      </c>
      <c r="B42" s="1" t="str">
        <f> COUNTIF('partidos regular'!A:A,"LE")+COUNTIF(playoffs!A:A,"LE")+COUNTIF(playoffs!E:E,"LE")&amp;"-"&amp;COUNTIF('partidos regular'!A:A,"EL")+COUNTIF(playoffs!A:A,"EL")+COUNTIF(playoffs!E:E,"EL")&amp;" ("&amp;COUNTIF(playoffs!A:A,"LE")+COUNTIF(playoffs!E:E,"LE")&amp;"-"&amp;COUNTIF(playoffs!A:A,"EL")+COUNTIF(playoffs!E:E,"EL")&amp;")"</f>
        <v>6-9 (0-0)</v>
      </c>
    </row>
    <row r="43" ht="15.75" customHeight="1">
      <c r="A43" s="1" t="s">
        <v>156</v>
      </c>
      <c r="B43" s="1" t="str">
        <f> COUNTIF('partidos regular'!A:A,"LG")+COUNTIF(playoffs!A:A,"LG")+COUNTIF(playoffs!E:E,"LG")&amp;"-"&amp;COUNTIF('partidos regular'!A:A,"GL")+COUNTIF(playoffs!A:A,"GL")+COUNTIF(playoffs!E:E,"GL")&amp;" ("&amp;COUNTIF(playoffs!A:A,"LG")+COUNTIF(playoffs!E:E,"LG")&amp;"-"&amp;COUNTIF(playoffs!A:A,"GL")+COUNTIF(playoffs!E:E,"GL")&amp;")"</f>
        <v>6-10 (1-0)</v>
      </c>
    </row>
    <row r="44" ht="15.75" customHeight="1">
      <c r="A44" s="1" t="s">
        <v>157</v>
      </c>
      <c r="B44" s="1" t="str">
        <f> COUNTIF('partidos regular'!A:A,"LS")+COUNTIF(playoffs!A:A,"LS")+COUNTIF(playoffs!E:E,"LS")&amp;"-"&amp;COUNTIF('partidos regular'!A:A,"SL")+COUNTIF(playoffs!A:A,"SL")+COUNTIF(playoffs!E:E,"SL")&amp;" ("&amp;COUNTIF(playoffs!A:A,"LS")+COUNTIF(playoffs!E:E,"LS")&amp;"-"&amp;COUNTIF(playoffs!A:A,"SL")+COUNTIF(playoffs!E:E,"SL")&amp;")"</f>
        <v>9-9 (1-1)</v>
      </c>
    </row>
    <row r="45" ht="15.75" customHeight="1">
      <c r="A45" s="1" t="s">
        <v>158</v>
      </c>
      <c r="B45" s="1" t="str">
        <f> COUNTIF('partidos regular'!A:A,"LN")+COUNTIF(playoffs!A:A,"LN")+COUNTIF(playoffs!E:E,"LN")&amp;"-"&amp;COUNTIF('partidos regular'!A:A,"NL")+COUNTIF(playoffs!A:A,"NL")+COUNTIF(playoffs!E:E,"NL")&amp;" ("&amp;COUNTIF(playoffs!A:A,"LN")+COUNTIF(playoffs!E:E,"LN")&amp;"-"&amp;COUNTIF(playoffs!A:A,"NL")+COUNTIF(playoffs!E:E,"NL")&amp;")"</f>
        <v>11-3 (0-0)</v>
      </c>
    </row>
    <row r="46" ht="15.75" customHeight="1">
      <c r="A46" s="1" t="s">
        <v>159</v>
      </c>
      <c r="B46" s="1" t="str">
        <f> COUNTIF('partidos regular'!A:A,"LC")+COUNTIF(playoffs!A:A,"LC")+COUNTIF(playoffs!E:E,"LC")&amp;"-"&amp;COUNTIF('partidos regular'!A:A,"CL")+COUNTIF(playoffs!A:A,"CL")+COUNTIF(playoffs!E:E,"CL")&amp;" ("&amp;COUNTIF(playoffs!A:A,"LC")+COUNTIF(playoffs!E:E,"LC")&amp;"-"&amp;COUNTIF(playoffs!A:A,"CL")+COUNTIF(playoffs!E:E,"CL")&amp;")"</f>
        <v>8-10 (0-0)</v>
      </c>
    </row>
    <row r="47" ht="15.75" customHeight="1">
      <c r="A47" s="1" t="s">
        <v>160</v>
      </c>
      <c r="B47" s="1" t="str">
        <f> COUNTIF('partidos regular'!A:A,"LK")+COUNTIF(playoffs!A:A,"LK")+COUNTIF(playoffs!E:E,"LK")&amp;"-"&amp;COUNTIF('partidos regular'!A:A,"KL")+COUNTIF(playoffs!A:A,"KL")+COUNTIF(playoffs!E:E,"KL")&amp;" ("&amp;COUNTIF(playoffs!A:A,"LK")+COUNTIF(playoffs!E:E,"LK")&amp;"-"&amp;COUNTIF(playoffs!A:A,"KL")+COUNTIF(playoffs!E:E,"KL")&amp;")"</f>
        <v>3-6 (0-0)</v>
      </c>
    </row>
    <row r="48" ht="15.75" customHeight="1">
      <c r="A48" s="1" t="s">
        <v>161</v>
      </c>
      <c r="B48" s="1" t="str">
        <f> COUNTIF('partidos regular'!A:A,"LJ")+COUNTIF(playoffs!A:A,"LJ")+COUNTIF(playoffs!E:E,"LJ")&amp;"-"&amp;COUNTIF('partidos regular'!A:A,"JL")+COUNTIF(playoffs!A:A,"JL")+COUNTIF(playoffs!E:E,"JL")&amp;" ("&amp;COUNTIF(playoffs!A:A,"LJ")+COUNTIF(playoffs!E:E,"LJ")&amp;"-"&amp;COUNTIF(playoffs!A:A,"JL")+COUNTIF(playoffs!E:E,"JL")&amp;")"</f>
        <v>6-11 (2-1)</v>
      </c>
    </row>
    <row r="49" ht="15.75" customHeight="1">
      <c r="A49" s="1" t="s">
        <v>133</v>
      </c>
    </row>
    <row r="50" ht="15.75" customHeight="1">
      <c r="A50" s="1" t="s">
        <v>133</v>
      </c>
    </row>
    <row r="51" ht="15.75" customHeight="1">
      <c r="A51" s="1" t="s">
        <v>113</v>
      </c>
    </row>
    <row r="52" ht="15.75" customHeight="1">
      <c r="A52" s="1" t="s">
        <v>162</v>
      </c>
      <c r="B52" s="1" t="str">
        <f> COUNTIF('partidos regular'!A:A,"CE")+COUNTIF(playoffs!A:A,"CE")+COUNTIF(playoffs!E:E,"CE")&amp;"-"&amp;COUNTIF('partidos regular'!A:A,"EC")+COUNTIF(playoffs!A:A,"EC")+COUNTIF(playoffs!E:E,"EC")&amp;" ("&amp;COUNTIF(playoffs!A:A,"CE")+COUNTIF(playoffs!E:E,"CE")&amp;"-"&amp;COUNTIF(playoffs!A:A,"EC")+COUNTIF(playoffs!E:E,"EC")&amp;")"</f>
        <v>9-5 (0-0)</v>
      </c>
    </row>
    <row r="53" ht="15.75" customHeight="1">
      <c r="A53" s="1" t="s">
        <v>163</v>
      </c>
      <c r="B53" s="1" t="str">
        <f> COUNTIF('partidos regular'!A:A,"CG")+COUNTIF(playoffs!A:A,"CG")+COUNTIF(playoffs!E:E,"CG")&amp;"-"&amp;COUNTIF('partidos regular'!A:A,"GC")+COUNTIF(playoffs!A:A,"GC")+COUNTIF(playoffs!E:E,"GC")&amp;" ("&amp;COUNTIF(playoffs!A:A,"CG")+COUNTIF(playoffs!E:E,"CG")&amp;"-"&amp;COUNTIF(playoffs!A:A,"GC")+COUNTIF(playoffs!E:E,"GC")&amp;")"</f>
        <v>7-5 (0-0)</v>
      </c>
    </row>
    <row r="54" ht="15.75" customHeight="1">
      <c r="A54" s="1" t="s">
        <v>164</v>
      </c>
      <c r="B54" s="1" t="str">
        <f> COUNTIF('partidos regular'!A:A,"CS")+COUNTIF(playoffs!A:A,"CS")+COUNTIF(playoffs!E:E,"CS")&amp;"-"&amp;COUNTIF('partidos regular'!A:A,"SC")+COUNTIF(playoffs!A:A,"SC")+COUNTIF(playoffs!E:E,"SC")&amp;" ("&amp;COUNTIF(playoffs!A:A,"CS")+COUNTIF(playoffs!E:E,"CS")&amp;"-"&amp;COUNTIF(playoffs!A:A,"SC")+COUNTIF(playoffs!E:E,"SC")&amp;")"</f>
        <v>6-7 (0-0)</v>
      </c>
    </row>
    <row r="55" ht="15.75" customHeight="1">
      <c r="A55" s="1" t="s">
        <v>165</v>
      </c>
      <c r="B55" s="1" t="str">
        <f> COUNTIF('partidos regular'!A:A,"CN")+COUNTIF(playoffs!A:A,"CN")+COUNTIF(playoffs!E:E,"CN")&amp;"-"&amp;COUNTIF('partidos regular'!A:A,"NC")+COUNTIF(playoffs!A:A,"NC")+COUNTIF(playoffs!E:E,"NC")&amp;" ("&amp;COUNTIF(playoffs!A:A,"CN")+COUNTIF(playoffs!E:E,"CN")&amp;"-"&amp;COUNTIF(playoffs!A:A,"NC")+COUNTIF(playoffs!E:E,"NC")&amp;")"</f>
        <v>6-8 (0-1)</v>
      </c>
    </row>
    <row r="56" ht="15.75" customHeight="1">
      <c r="A56" s="1" t="s">
        <v>166</v>
      </c>
      <c r="B56" s="1" t="str">
        <f> COUNTIF('partidos regular'!A:A,"CL")+COUNTIF(playoffs!A:A,"CL")+COUNTIF(playoffs!E:E,"CL")&amp;"-"&amp;COUNTIF('partidos regular'!A:A,"LC")+COUNTIF(playoffs!A:A,"LC")+COUNTIF(playoffs!E:E,"LC")&amp;" ("&amp;COUNTIF(playoffs!A:A,"CL")+COUNTIF(playoffs!E:E,"CL")&amp;"-"&amp;COUNTIF(playoffs!A:A,"LC")+COUNTIF(playoffs!E:E,"LC")&amp;")"</f>
        <v>10-8 (0-0)</v>
      </c>
    </row>
    <row r="57" ht="15.75" customHeight="1">
      <c r="A57" s="1" t="s">
        <v>167</v>
      </c>
      <c r="B57" s="1" t="str">
        <f> COUNTIF('partidos regular'!A:A,"CK")+COUNTIF(playoffs!A:A,"CK")+COUNTIF(playoffs!E:E,"CK")&amp;"-"&amp;COUNTIF('partidos regular'!A:A,"KC")+COUNTIF(playoffs!A:A,"KC")+COUNTIF(playoffs!E:E,"KC")&amp;" ("&amp;COUNTIF(playoffs!A:A,"CK")+COUNTIF(playoffs!E:E,"CK")&amp;"-"&amp;COUNTIF(playoffs!A:A,"KC")+COUNTIF(playoffs!E:E,"KC")&amp;")"</f>
        <v>3-6 (0-0)</v>
      </c>
    </row>
    <row r="58" ht="15.75" customHeight="1">
      <c r="A58" s="1" t="s">
        <v>168</v>
      </c>
      <c r="B58" s="1" t="str">
        <f> COUNTIF('partidos regular'!A:A,"CJ")+COUNTIF(playoffs!A:A,"CJ")+COUNTIF(playoffs!E:E,"CJ")&amp;"-"&amp;COUNTIF('partidos regular'!A:A,"JC")+COUNTIF(playoffs!A:A,"JC")+COUNTIF(playoffs!E:E,"JC")&amp;" ("&amp;COUNTIF(playoffs!A:A,"CJ")+COUNTIF(playoffs!E:E,"CJ")&amp;"-"&amp;COUNTIF(playoffs!A:A,"JC")+COUNTIF(playoffs!E:E,"JC")&amp;")"</f>
        <v>4-9 (0-0)</v>
      </c>
    </row>
    <row r="59" ht="15.75" customHeight="1">
      <c r="A59" s="1" t="s">
        <v>133</v>
      </c>
    </row>
    <row r="60" ht="15.75" customHeight="1">
      <c r="A60" s="1" t="s">
        <v>133</v>
      </c>
    </row>
    <row r="61" ht="15.75" customHeight="1">
      <c r="A61" s="1" t="s">
        <v>1</v>
      </c>
    </row>
    <row r="62" ht="15.75" customHeight="1">
      <c r="A62" s="1" t="s">
        <v>169</v>
      </c>
      <c r="B62" s="1" t="str">
        <f> COUNTIF('partidos regular'!A:A,"KE")+COUNTIF(playoffs!A:A,"KE")+COUNTIF(playoffs!E:E,"KE")&amp;"-"&amp;COUNTIF('partidos regular'!A:A,"EK")+COUNTIF(playoffs!A:A,"EK")+COUNTIF(playoffs!E:E,"EK")&amp;" ("&amp;COUNTIF(playoffs!A:A,"KE")+COUNTIF(playoffs!E:E,"KE")&amp;"-"&amp;COUNTIF(playoffs!A:A,"EK")+COUNTIF(playoffs!E:E,"EK")&amp;")"</f>
        <v>8-5 (0-1)</v>
      </c>
    </row>
    <row r="63" ht="15.75" customHeight="1">
      <c r="A63" s="1" t="s">
        <v>170</v>
      </c>
      <c r="B63" s="1" t="str">
        <f> COUNTIF('partidos regular'!A:A,"KG")+COUNTIF(playoffs!A:A,"KG")+COUNTIF(playoffs!E:E,"KG")&amp;"-"&amp;COUNTIF('partidos regular'!A:A,"GK")+COUNTIF(playoffs!A:A,"GK")+COUNTIF(playoffs!E:E,"GK")&amp;" ("&amp;COUNTIF(playoffs!A:A,"KG")+COUNTIF(playoffs!E:E,"KG")&amp;"-"&amp;COUNTIF(playoffs!A:A,"GK")+COUNTIF(playoffs!E:E,"GK")&amp;")"</f>
        <v>2-7 (0-0)</v>
      </c>
    </row>
    <row r="64" ht="15.75" customHeight="1">
      <c r="A64" s="1" t="s">
        <v>171</v>
      </c>
      <c r="B64" s="1" t="str">
        <f> COUNTIF('partidos regular'!A:A,"KS")+COUNTIF(playoffs!A:A,"KS")+COUNTIF(playoffs!E:E,"KS")&amp;"-"&amp;COUNTIF('partidos regular'!A:A,"SK")+COUNTIF(playoffs!A:A,"SK")+COUNTIF(playoffs!E:E,"SK")&amp;" ("&amp;COUNTIF(playoffs!A:A,"KS")+COUNTIF(playoffs!E:E,"KS")&amp;"-"&amp;COUNTIF(playoffs!A:A,"SK")+COUNTIF(playoffs!E:E,"SK")&amp;")"</f>
        <v>4-5 (0-0)</v>
      </c>
    </row>
    <row r="65" ht="15.75" customHeight="1">
      <c r="A65" s="1" t="s">
        <v>172</v>
      </c>
      <c r="B65" s="1" t="str">
        <f> COUNTIF('partidos regular'!A:A,"KN")+COUNTIF(playoffs!A:A,"KN")+COUNTIF(playoffs!E:E,"KN")&amp;"-"&amp;COUNTIF('partidos regular'!A:A,"NK")+COUNTIF(playoffs!A:A,"NK")+COUNTIF(playoffs!E:E,"NK")&amp;" ("&amp;COUNTIF(playoffs!A:A,"KN")+COUNTIF(playoffs!E:E,"KN")&amp;"-"&amp;COUNTIF(playoffs!A:A,"NK")+COUNTIF(playoffs!E:E,"NK")&amp;")"</f>
        <v>6-3 (1-0)</v>
      </c>
    </row>
    <row r="66" ht="15.75" customHeight="1">
      <c r="A66" s="1" t="s">
        <v>173</v>
      </c>
      <c r="B66" s="1" t="str">
        <f> COUNTIF('partidos regular'!A:A,"KL")+COUNTIF(playoffs!A:A,"KL")+COUNTIF(playoffs!E:E,"KL")&amp;"-"&amp;COUNTIF('partidos regular'!A:A,"LK")+COUNTIF(playoffs!A:A,"LK")+COUNTIF(playoffs!E:E,"LK")&amp;" ("&amp;COUNTIF(playoffs!A:A,"KL")+COUNTIF(playoffs!E:E,"KL")&amp;"-"&amp;COUNTIF(playoffs!A:A,"LK")+COUNTIF(playoffs!E:E,"LK")&amp;")"</f>
        <v>6-3 (0-0)</v>
      </c>
    </row>
    <row r="67" ht="15.75" customHeight="1">
      <c r="A67" s="1" t="s">
        <v>174</v>
      </c>
      <c r="B67" s="1" t="str">
        <f> COUNTIF('partidos regular'!A:A,"KC")+COUNTIF(playoffs!A:A,"KC")+COUNTIF(playoffs!E:E,"KC")&amp;"-"&amp;COUNTIF('partidos regular'!A:A,"CK")+COUNTIF(playoffs!A:A,"CK")+COUNTIF(playoffs!E:E,"CK")&amp;" ("&amp;COUNTIF(playoffs!A:A,"KC")+COUNTIF(playoffs!E:E,"KC")&amp;"-"&amp;COUNTIF(playoffs!A:A,"CK")+COUNTIF(playoffs!E:E,"CK")&amp;")"</f>
        <v>6-3 (0-0)</v>
      </c>
    </row>
    <row r="68" ht="15.75" customHeight="1">
      <c r="A68" s="1" t="s">
        <v>175</v>
      </c>
      <c r="B68" s="1" t="str">
        <f> COUNTIF('partidos regular'!A:A,"KJ")+COUNTIF(playoffs!A:A,"KJ")+COUNTIF(playoffs!E:E,"KJ")&amp;"-"&amp;COUNTIF('partidos regular'!A:A,"JK")+COUNTIF(playoffs!A:A,"JK")+COUNTIF(playoffs!E:E,"JK")&amp;" ("&amp;COUNTIF(playoffs!A:A,"KJ")+COUNTIF(playoffs!E:E,"KJ")&amp;"-"&amp;COUNTIF(playoffs!A:A,"JK")+COUNTIF(playoffs!E:E,"JK")&amp;")"</f>
        <v>3-7 (0-0)</v>
      </c>
    </row>
    <row r="69" ht="15.75" customHeight="1">
      <c r="A69" s="1" t="s">
        <v>133</v>
      </c>
    </row>
    <row r="70" ht="15.75" customHeight="1">
      <c r="A70" s="1" t="s">
        <v>133</v>
      </c>
    </row>
    <row r="71" ht="15.75" customHeight="1">
      <c r="A71" s="1" t="s">
        <v>92</v>
      </c>
    </row>
    <row r="72" ht="15.75" customHeight="1">
      <c r="A72" s="1" t="s">
        <v>176</v>
      </c>
      <c r="B72" s="1" t="str">
        <f> COUNTIF('partidos regular'!A:A,"JE")+COUNTIF(playoffs!A:A,"JE")+COUNTIF(playoffs!E:E,"JE")&amp;"-"&amp;COUNTIF('partidos regular'!A:A,"EJ")+COUNTIF(playoffs!A:A,"EJ")+COUNTIF(playoffs!E:E,"EJ")&amp;" ("&amp;COUNTIF(playoffs!A:A,"JE")+COUNTIF(playoffs!E:E,"JE")&amp;"-"&amp;COUNTIF(playoffs!A:A,"EJ")+COUNTIF(playoffs!E:E,"EJ")&amp;")"</f>
        <v>8-9 (1-1)</v>
      </c>
    </row>
    <row r="73" ht="15.75" customHeight="1">
      <c r="A73" s="1" t="s">
        <v>177</v>
      </c>
      <c r="B73" s="1" t="str">
        <f> COUNTIF('partidos regular'!A:A,"JG")+COUNTIF(playoffs!A:A,"JG")+COUNTIF(playoffs!E:E,"JG")&amp;"-"&amp;COUNTIF('partidos regular'!A:A,"GJ")+COUNTIF(playoffs!A:A,"GJ")+COUNTIF(playoffs!E:E,"GJ")&amp;" ("&amp;COUNTIF(playoffs!A:A,"JG")+COUNTIF(playoffs!E:E,"JG")&amp;"-"&amp;COUNTIF(playoffs!A:A,"GJ")+COUNTIF(playoffs!E:E,"GJ")&amp;")"</f>
        <v>13-5 (2-1)</v>
      </c>
    </row>
    <row r="74" ht="15.75" customHeight="1">
      <c r="A74" s="1" t="s">
        <v>178</v>
      </c>
      <c r="B74" s="1" t="str">
        <f> COUNTIF('partidos regular'!A:A,"JS")+COUNTIF(playoffs!A:A,"JS")+COUNTIF(playoffs!E:E,"JS")&amp;"-"&amp;COUNTIF('partidos regular'!A:A,"SJ")+COUNTIF(playoffs!A:A,"SJ")+COUNTIF(playoffs!E:E,"SJ")&amp;" ("&amp;COUNTIF(playoffs!A:A,"JS")+COUNTIF(playoffs!E:E,"JS")&amp;"-"&amp;COUNTIF(playoffs!A:A,"SJ")+COUNTIF(playoffs!E:E,"SJ")&amp;")"</f>
        <v>11-9 (1-0)</v>
      </c>
    </row>
    <row r="75" ht="15.75" customHeight="1">
      <c r="A75" s="1" t="s">
        <v>179</v>
      </c>
      <c r="B75" s="1" t="str">
        <f> COUNTIF('partidos regular'!A:A,"JN")+COUNTIF(playoffs!A:A,"JN")+COUNTIF(playoffs!E:E,"JN")&amp;"-"&amp;COUNTIF('partidos regular'!A:A,"NJ")+COUNTIF(playoffs!A:A,"NJ")+COUNTIF(playoffs!E:E,"NJ")&amp;" ("&amp;COUNTIF(playoffs!A:A,"JN")+COUNTIF(playoffs!E:E,"JN")&amp;"-"&amp;COUNTIF(playoffs!A:A,"NJ")+COUNTIF(playoffs!E:E,"NJ")&amp;")"</f>
        <v>8-8 (1-0)</v>
      </c>
    </row>
    <row r="76" ht="15.75" customHeight="1">
      <c r="A76" s="1" t="s">
        <v>180</v>
      </c>
      <c r="B76" s="1" t="str">
        <f> COUNTIF('partidos regular'!A:A,"JL")+COUNTIF(playoffs!A:A,"JL")+COUNTIF(playoffs!E:E,"JL")&amp;"-"&amp;COUNTIF('partidos regular'!A:A,"LJ")+COUNTIF(playoffs!A:A,"LJ")+COUNTIF(playoffs!E:E,"LJ")&amp;" ("&amp;COUNTIF(playoffs!A:A,"JL")+COUNTIF(playoffs!E:E,"JL")&amp;"-"&amp;COUNTIF(playoffs!A:A,"LJ")+COUNTIF(playoffs!E:E,"LJ")&amp;")"</f>
        <v>11-6 (1-2)</v>
      </c>
    </row>
    <row r="77" ht="15.75" customHeight="1">
      <c r="A77" s="1" t="s">
        <v>181</v>
      </c>
      <c r="B77" s="1" t="str">
        <f> COUNTIF('partidos regular'!A:A,"JC")+COUNTIF(playoffs!A:A,"JC")+COUNTIF(playoffs!E:E,"JC")&amp;"-"&amp;COUNTIF('partidos regular'!A:A,"CJ")+COUNTIF(playoffs!A:A,"CJ")+COUNTIF(playoffs!E:E,"CJ")&amp;" ("&amp;COUNTIF(playoffs!A:A,"JC")+COUNTIF(playoffs!E:E,"JC")&amp;"-"&amp;COUNTIF(playoffs!A:A,"CJ")+COUNTIF(playoffs!E:E,"CJ")&amp;")"</f>
        <v>9-4 (0-0)</v>
      </c>
    </row>
    <row r="78" ht="15.75" customHeight="1">
      <c r="A78" s="1" t="s">
        <v>182</v>
      </c>
      <c r="B78" s="1" t="str">
        <f> COUNTIF('partidos regular'!A:A,"JK")+COUNTIF(playoffs!A:A,"JK")+COUNTIF(playoffs!E:E,"JK")&amp;"-"&amp;COUNTIF('partidos regular'!A:A,"KJ")+COUNTIF(playoffs!A:A,"KJ")+COUNTIF(playoffs!E:E,"KJ")&amp;" ("&amp;COUNTIF(playoffs!A:A,"JK")+COUNTIF(playoffs!E:E,"JK")&amp;"-"&amp;COUNTIF(playoffs!A:A,"KJ")+COUNTIF(playoffs!E:E,"KJ")&amp;")"</f>
        <v>7-3 (0-0)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